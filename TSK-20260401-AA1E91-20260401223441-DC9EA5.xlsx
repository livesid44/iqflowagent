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moshira_marzouk_orange_com/Documents/Desktop/"/>
    </mc:Choice>
  </mc:AlternateContent>
  <xr:revisionPtr revIDLastSave="53" documentId="8_{F092D416-5477-484B-96BB-BD8AA2D094E5}" xr6:coauthVersionLast="47" xr6:coauthVersionMax="47" xr10:uidLastSave="{43020092-DE16-45DE-A159-03635F638055}"/>
  <bookViews>
    <workbookView xWindow="-110" yWindow="-110" windowWidth="19420" windowHeight="10300" firstSheet="2" activeTab="2" xr2:uid="{2EF2067F-DFBB-4239-BDB7-B9AF533A975F}"/>
  </bookViews>
  <sheets>
    <sheet name="Overall Volumes large locations" sheetId="1" r:id="rId1"/>
    <sheet name="Global KPI Trend" sheetId="3" r:id="rId2"/>
    <sheet name="summary per quarter" sheetId="4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3" i="4" l="1"/>
  <c r="R33" i="4"/>
  <c r="T33" i="4" s="1"/>
  <c r="P33" i="4"/>
  <c r="O33" i="4"/>
  <c r="Q33" i="4" s="1"/>
  <c r="M33" i="4"/>
  <c r="L33" i="4"/>
  <c r="J33" i="4"/>
  <c r="I33" i="4"/>
  <c r="K33" i="4" s="1"/>
  <c r="F33" i="4"/>
  <c r="E33" i="4"/>
  <c r="C33" i="4"/>
  <c r="B33" i="4"/>
  <c r="S32" i="4"/>
  <c r="R32" i="4"/>
  <c r="T32" i="4" s="1"/>
  <c r="P32" i="4"/>
  <c r="O32" i="4"/>
  <c r="M32" i="4"/>
  <c r="L32" i="4"/>
  <c r="J32" i="4"/>
  <c r="I32" i="4"/>
  <c r="K32" i="4" s="1"/>
  <c r="F32" i="4"/>
  <c r="E32" i="4"/>
  <c r="C32" i="4"/>
  <c r="B32" i="4"/>
  <c r="S31" i="4"/>
  <c r="R31" i="4"/>
  <c r="T31" i="4" s="1"/>
  <c r="P31" i="4"/>
  <c r="O31" i="4"/>
  <c r="M31" i="4"/>
  <c r="L31" i="4"/>
  <c r="J31" i="4"/>
  <c r="I31" i="4"/>
  <c r="K31" i="4" s="1"/>
  <c r="F31" i="4"/>
  <c r="E31" i="4"/>
  <c r="C31" i="4"/>
  <c r="B31" i="4"/>
  <c r="D31" i="4" s="1"/>
  <c r="S30" i="4"/>
  <c r="R30" i="4"/>
  <c r="T30" i="4" s="1"/>
  <c r="P30" i="4"/>
  <c r="O30" i="4"/>
  <c r="M30" i="4"/>
  <c r="L30" i="4"/>
  <c r="J30" i="4"/>
  <c r="I30" i="4"/>
  <c r="K30" i="4" s="1"/>
  <c r="F30" i="4"/>
  <c r="E30" i="4"/>
  <c r="C30" i="4"/>
  <c r="B30" i="4"/>
  <c r="D30" i="4" s="1"/>
  <c r="S29" i="4"/>
  <c r="R29" i="4"/>
  <c r="T29" i="4" s="1"/>
  <c r="P29" i="4"/>
  <c r="O29" i="4"/>
  <c r="Q29" i="4" s="1"/>
  <c r="M29" i="4"/>
  <c r="L29" i="4"/>
  <c r="J29" i="4"/>
  <c r="I29" i="4"/>
  <c r="K29" i="4" s="1"/>
  <c r="F29" i="4"/>
  <c r="E29" i="4"/>
  <c r="G29" i="4" s="1"/>
  <c r="C29" i="4"/>
  <c r="B29" i="4"/>
  <c r="D29" i="4" s="1"/>
  <c r="S28" i="4"/>
  <c r="R28" i="4"/>
  <c r="T28" i="4" s="1"/>
  <c r="P28" i="4"/>
  <c r="O28" i="4"/>
  <c r="M28" i="4"/>
  <c r="L28" i="4"/>
  <c r="J28" i="4"/>
  <c r="I28" i="4"/>
  <c r="K28" i="4" s="1"/>
  <c r="F28" i="4"/>
  <c r="E28" i="4"/>
  <c r="G28" i="4" s="1"/>
  <c r="C28" i="4"/>
  <c r="B28" i="4"/>
  <c r="D28" i="4" s="1"/>
  <c r="S27" i="4"/>
  <c r="R27" i="4"/>
  <c r="T27" i="4" s="1"/>
  <c r="P27" i="4"/>
  <c r="O27" i="4"/>
  <c r="Q27" i="4" s="1"/>
  <c r="M27" i="4"/>
  <c r="L27" i="4"/>
  <c r="J27" i="4"/>
  <c r="I27" i="4"/>
  <c r="K27" i="4" s="1"/>
  <c r="F27" i="4"/>
  <c r="E27" i="4"/>
  <c r="G27" i="4" s="1"/>
  <c r="C27" i="4"/>
  <c r="B27" i="4"/>
  <c r="D27" i="4" s="1"/>
  <c r="S26" i="4"/>
  <c r="R26" i="4"/>
  <c r="T26" i="4" s="1"/>
  <c r="P26" i="4"/>
  <c r="O26" i="4"/>
  <c r="M26" i="4"/>
  <c r="L26" i="4"/>
  <c r="J26" i="4"/>
  <c r="I26" i="4"/>
  <c r="K26" i="4" s="1"/>
  <c r="F26" i="4"/>
  <c r="E26" i="4"/>
  <c r="G26" i="4" s="1"/>
  <c r="C26" i="4"/>
  <c r="B26" i="4"/>
  <c r="D26" i="4" s="1"/>
  <c r="S22" i="4"/>
  <c r="R22" i="4"/>
  <c r="T22" i="4" s="1"/>
  <c r="P22" i="4"/>
  <c r="O22" i="4"/>
  <c r="Q22" i="4" s="1"/>
  <c r="M22" i="4"/>
  <c r="L22" i="4"/>
  <c r="J22" i="4"/>
  <c r="I22" i="4"/>
  <c r="K22" i="4" s="1"/>
  <c r="F22" i="4"/>
  <c r="E22" i="4"/>
  <c r="G22" i="4" s="1"/>
  <c r="C22" i="4"/>
  <c r="B22" i="4"/>
  <c r="D22" i="4" s="1"/>
  <c r="S21" i="4"/>
  <c r="R21" i="4"/>
  <c r="T21" i="4" s="1"/>
  <c r="P21" i="4"/>
  <c r="O21" i="4"/>
  <c r="M21" i="4"/>
  <c r="L21" i="4"/>
  <c r="J21" i="4"/>
  <c r="I21" i="4"/>
  <c r="K21" i="4" s="1"/>
  <c r="F21" i="4"/>
  <c r="E21" i="4"/>
  <c r="G21" i="4" s="1"/>
  <c r="C21" i="4"/>
  <c r="B21" i="4"/>
  <c r="D21" i="4" s="1"/>
  <c r="S20" i="4"/>
  <c r="R20" i="4"/>
  <c r="T20" i="4" s="1"/>
  <c r="P20" i="4"/>
  <c r="O20" i="4"/>
  <c r="Q20" i="4" s="1"/>
  <c r="M20" i="4"/>
  <c r="L20" i="4"/>
  <c r="J20" i="4"/>
  <c r="I20" i="4"/>
  <c r="K20" i="4" s="1"/>
  <c r="F20" i="4"/>
  <c r="E20" i="4"/>
  <c r="G20" i="4" s="1"/>
  <c r="C20" i="4"/>
  <c r="B20" i="4"/>
  <c r="D20" i="4" s="1"/>
  <c r="S19" i="4"/>
  <c r="R19" i="4"/>
  <c r="T19" i="4" s="1"/>
  <c r="P19" i="4"/>
  <c r="O19" i="4"/>
  <c r="M19" i="4"/>
  <c r="L19" i="4"/>
  <c r="J19" i="4"/>
  <c r="I19" i="4"/>
  <c r="K19" i="4" s="1"/>
  <c r="F19" i="4"/>
  <c r="E19" i="4"/>
  <c r="G19" i="4" s="1"/>
  <c r="C19" i="4"/>
  <c r="B19" i="4"/>
  <c r="D19" i="4" s="1"/>
  <c r="S18" i="4"/>
  <c r="R18" i="4"/>
  <c r="T18" i="4" s="1"/>
  <c r="P18" i="4"/>
  <c r="O18" i="4"/>
  <c r="Q18" i="4" s="1"/>
  <c r="M18" i="4"/>
  <c r="L18" i="4"/>
  <c r="J18" i="4"/>
  <c r="I18" i="4"/>
  <c r="K18" i="4" s="1"/>
  <c r="F18" i="4"/>
  <c r="E18" i="4"/>
  <c r="G18" i="4" s="1"/>
  <c r="C18" i="4"/>
  <c r="B18" i="4"/>
  <c r="D18" i="4" s="1"/>
  <c r="S17" i="4"/>
  <c r="R17" i="4"/>
  <c r="T17" i="4" s="1"/>
  <c r="P17" i="4"/>
  <c r="O17" i="4"/>
  <c r="M17" i="4"/>
  <c r="L17" i="4"/>
  <c r="J17" i="4"/>
  <c r="I17" i="4"/>
  <c r="K17" i="4" s="1"/>
  <c r="F17" i="4"/>
  <c r="E17" i="4"/>
  <c r="G17" i="4" s="1"/>
  <c r="C17" i="4"/>
  <c r="B17" i="4"/>
  <c r="D17" i="4" s="1"/>
  <c r="S16" i="4"/>
  <c r="R16" i="4"/>
  <c r="T16" i="4" s="1"/>
  <c r="P16" i="4"/>
  <c r="O16" i="4"/>
  <c r="Q16" i="4" s="1"/>
  <c r="M16" i="4"/>
  <c r="L16" i="4"/>
  <c r="J16" i="4"/>
  <c r="I16" i="4"/>
  <c r="K16" i="4" s="1"/>
  <c r="F16" i="4"/>
  <c r="E16" i="4"/>
  <c r="G16" i="4" s="1"/>
  <c r="C16" i="4"/>
  <c r="B16" i="4"/>
  <c r="D16" i="4" s="1"/>
  <c r="S15" i="4"/>
  <c r="R15" i="4"/>
  <c r="T15" i="4" s="1"/>
  <c r="P15" i="4"/>
  <c r="O15" i="4"/>
  <c r="M15" i="4"/>
  <c r="L15" i="4"/>
  <c r="J15" i="4"/>
  <c r="I15" i="4"/>
  <c r="K15" i="4" s="1"/>
  <c r="F15" i="4"/>
  <c r="E15" i="4"/>
  <c r="G15" i="4" s="1"/>
  <c r="C15" i="4"/>
  <c r="B15" i="4"/>
  <c r="D15" i="4" s="1"/>
  <c r="S11" i="4"/>
  <c r="R11" i="4"/>
  <c r="T11" i="4" s="1"/>
  <c r="P11" i="4"/>
  <c r="O11" i="4"/>
  <c r="Q11" i="4" s="1"/>
  <c r="M11" i="4"/>
  <c r="L11" i="4"/>
  <c r="J11" i="4"/>
  <c r="I11" i="4"/>
  <c r="K11" i="4" s="1"/>
  <c r="F11" i="4"/>
  <c r="E11" i="4"/>
  <c r="C11" i="4"/>
  <c r="B11" i="4"/>
  <c r="D11" i="4" s="1"/>
  <c r="S10" i="4"/>
  <c r="R10" i="4"/>
  <c r="T10" i="4" s="1"/>
  <c r="P10" i="4"/>
  <c r="O10" i="4"/>
  <c r="M10" i="4"/>
  <c r="L10" i="4"/>
  <c r="J10" i="4"/>
  <c r="I10" i="4"/>
  <c r="K10" i="4" s="1"/>
  <c r="F10" i="4"/>
  <c r="E10" i="4"/>
  <c r="C10" i="4"/>
  <c r="B10" i="4"/>
  <c r="D10" i="4" s="1"/>
  <c r="S9" i="4"/>
  <c r="R9" i="4"/>
  <c r="T9" i="4" s="1"/>
  <c r="P9" i="4"/>
  <c r="O9" i="4"/>
  <c r="M9" i="4"/>
  <c r="L9" i="4"/>
  <c r="J9" i="4"/>
  <c r="I9" i="4"/>
  <c r="K9" i="4" s="1"/>
  <c r="F9" i="4"/>
  <c r="E9" i="4"/>
  <c r="C9" i="4"/>
  <c r="B9" i="4"/>
  <c r="D9" i="4" s="1"/>
  <c r="S8" i="4"/>
  <c r="R8" i="4"/>
  <c r="T8" i="4" s="1"/>
  <c r="P8" i="4"/>
  <c r="O8" i="4"/>
  <c r="M8" i="4"/>
  <c r="L8" i="4"/>
  <c r="J8" i="4"/>
  <c r="I8" i="4"/>
  <c r="K8" i="4" s="1"/>
  <c r="F8" i="4"/>
  <c r="E8" i="4"/>
  <c r="C8" i="4"/>
  <c r="B8" i="4"/>
  <c r="D8" i="4" s="1"/>
  <c r="S7" i="4"/>
  <c r="R7" i="4"/>
  <c r="T7" i="4" s="1"/>
  <c r="P7" i="4"/>
  <c r="O7" i="4"/>
  <c r="M7" i="4"/>
  <c r="L7" i="4"/>
  <c r="J7" i="4"/>
  <c r="I7" i="4"/>
  <c r="K7" i="4" s="1"/>
  <c r="F7" i="4"/>
  <c r="E7" i="4"/>
  <c r="C7" i="4"/>
  <c r="B7" i="4"/>
  <c r="D7" i="4" s="1"/>
  <c r="S6" i="4"/>
  <c r="R6" i="4"/>
  <c r="T6" i="4" s="1"/>
  <c r="P6" i="4"/>
  <c r="O6" i="4"/>
  <c r="M6" i="4"/>
  <c r="L6" i="4"/>
  <c r="J6" i="4"/>
  <c r="I6" i="4"/>
  <c r="K6" i="4" s="1"/>
  <c r="F6" i="4"/>
  <c r="E6" i="4"/>
  <c r="G6" i="4" s="1"/>
  <c r="C6" i="4"/>
  <c r="B6" i="4"/>
  <c r="D6" i="4" s="1"/>
  <c r="S5" i="4"/>
  <c r="R5" i="4"/>
  <c r="P5" i="4"/>
  <c r="O5" i="4"/>
  <c r="Q5" i="4" s="1"/>
  <c r="M5" i="4"/>
  <c r="L5" i="4"/>
  <c r="J5" i="4"/>
  <c r="I5" i="4"/>
  <c r="F5" i="4"/>
  <c r="E5" i="4"/>
  <c r="C5" i="4"/>
  <c r="B5" i="4"/>
  <c r="S4" i="4"/>
  <c r="R4" i="4"/>
  <c r="P4" i="4"/>
  <c r="O4" i="4"/>
  <c r="Q4" i="4" s="1"/>
  <c r="M4" i="4"/>
  <c r="L4" i="4"/>
  <c r="J4" i="4"/>
  <c r="I4" i="4"/>
  <c r="F4" i="4"/>
  <c r="E4" i="4"/>
  <c r="C4" i="4"/>
  <c r="B4" i="4"/>
  <c r="N17" i="3"/>
  <c r="M17" i="3"/>
  <c r="L17" i="3"/>
  <c r="K17" i="3"/>
  <c r="J17" i="3"/>
  <c r="N16" i="3"/>
  <c r="M16" i="3"/>
  <c r="L16" i="3"/>
  <c r="K16" i="3"/>
  <c r="J16" i="3"/>
  <c r="N15" i="3"/>
  <c r="M15" i="3"/>
  <c r="L15" i="3"/>
  <c r="K15" i="3"/>
  <c r="J15" i="3"/>
  <c r="I14" i="3"/>
  <c r="H14" i="3"/>
  <c r="G14" i="3"/>
  <c r="F14" i="3"/>
  <c r="E14" i="3"/>
  <c r="D14" i="3"/>
  <c r="C14" i="3"/>
  <c r="B14" i="3"/>
  <c r="N13" i="3"/>
  <c r="M13" i="3"/>
  <c r="L13" i="3"/>
  <c r="K13" i="3"/>
  <c r="J13" i="3"/>
  <c r="N12" i="3"/>
  <c r="M12" i="3"/>
  <c r="L12" i="3"/>
  <c r="K12" i="3"/>
  <c r="J12" i="3"/>
  <c r="N11" i="3"/>
  <c r="M11" i="3"/>
  <c r="L11" i="3"/>
  <c r="K11" i="3"/>
  <c r="J11" i="3"/>
  <c r="I10" i="3"/>
  <c r="H10" i="3"/>
  <c r="G10" i="3"/>
  <c r="F10" i="3"/>
  <c r="E10" i="3"/>
  <c r="D10" i="3"/>
  <c r="C10" i="3"/>
  <c r="B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N8" i="3"/>
  <c r="M8" i="3"/>
  <c r="L8" i="3"/>
  <c r="K8" i="3"/>
  <c r="J8" i="3"/>
  <c r="I8" i="3"/>
  <c r="H8" i="3"/>
  <c r="G8" i="3"/>
  <c r="F8" i="3"/>
  <c r="E8" i="3"/>
  <c r="D8" i="3"/>
  <c r="C8" i="3"/>
  <c r="B8" i="3"/>
  <c r="N7" i="3"/>
  <c r="M7" i="3"/>
  <c r="L7" i="3"/>
  <c r="K7" i="3"/>
  <c r="J7" i="3"/>
  <c r="I7" i="3"/>
  <c r="H7" i="3"/>
  <c r="G7" i="3"/>
  <c r="F7" i="3"/>
  <c r="E7" i="3"/>
  <c r="D7" i="3"/>
  <c r="C7" i="3"/>
  <c r="B7" i="3"/>
  <c r="N5" i="3"/>
  <c r="M5" i="3"/>
  <c r="L5" i="3"/>
  <c r="K5" i="3"/>
  <c r="J5" i="3"/>
  <c r="I5" i="3"/>
  <c r="H5" i="3"/>
  <c r="G5" i="3"/>
  <c r="F5" i="3"/>
  <c r="E5" i="3"/>
  <c r="D5" i="3"/>
  <c r="C5" i="3"/>
  <c r="B5" i="3"/>
  <c r="N4" i="3"/>
  <c r="M4" i="3"/>
  <c r="L4" i="3"/>
  <c r="K4" i="3"/>
  <c r="J4" i="3"/>
  <c r="I4" i="3"/>
  <c r="H4" i="3"/>
  <c r="G4" i="3"/>
  <c r="F4" i="3"/>
  <c r="E4" i="3"/>
  <c r="D4" i="3"/>
  <c r="C4" i="3"/>
  <c r="B4" i="3"/>
  <c r="N3" i="3"/>
  <c r="M3" i="3"/>
  <c r="L3" i="3"/>
  <c r="K3" i="3"/>
  <c r="J3" i="3"/>
  <c r="I3" i="3"/>
  <c r="H3" i="3"/>
  <c r="G3" i="3"/>
  <c r="F3" i="3"/>
  <c r="E3" i="3"/>
  <c r="D3" i="3"/>
  <c r="C3" i="3"/>
  <c r="B3" i="3"/>
  <c r="B6" i="3" l="1"/>
  <c r="N6" i="3"/>
  <c r="L2" i="3"/>
  <c r="M14" i="3"/>
  <c r="L6" i="3"/>
  <c r="N14" i="3"/>
  <c r="M6" i="3"/>
  <c r="H2" i="3"/>
  <c r="F6" i="3"/>
  <c r="E2" i="3"/>
  <c r="I2" i="3"/>
  <c r="J14" i="3"/>
  <c r="C6" i="3"/>
  <c r="K6" i="3"/>
  <c r="G2" i="3"/>
  <c r="G6" i="3"/>
  <c r="K10" i="3"/>
  <c r="J6" i="3"/>
  <c r="L10" i="3"/>
  <c r="K14" i="3"/>
  <c r="K2" i="3"/>
  <c r="C2" i="3"/>
  <c r="M2" i="3"/>
  <c r="D2" i="3"/>
  <c r="M10" i="3"/>
  <c r="N10" i="3"/>
  <c r="J2" i="3"/>
  <c r="H6" i="3"/>
  <c r="F2" i="3"/>
  <c r="D6" i="3"/>
  <c r="J10" i="3"/>
  <c r="I6" i="3"/>
  <c r="B2" i="3"/>
  <c r="N2" i="3"/>
  <c r="E6" i="3"/>
  <c r="L14" i="3"/>
  <c r="D33" i="4"/>
  <c r="N4" i="4"/>
  <c r="N5" i="4"/>
  <c r="N6" i="4"/>
  <c r="N7" i="4"/>
  <c r="N8" i="4"/>
  <c r="N9" i="4"/>
  <c r="N10" i="4"/>
  <c r="N11" i="4"/>
  <c r="N15" i="4"/>
  <c r="N16" i="4"/>
  <c r="N17" i="4"/>
  <c r="N18" i="4"/>
  <c r="N19" i="4"/>
  <c r="G7" i="4"/>
  <c r="G8" i="4"/>
  <c r="G9" i="4"/>
  <c r="G10" i="4"/>
  <c r="G11" i="4"/>
  <c r="N20" i="4"/>
  <c r="N21" i="4"/>
  <c r="N22" i="4"/>
  <c r="N26" i="4"/>
  <c r="N27" i="4"/>
  <c r="N28" i="4"/>
  <c r="N29" i="4"/>
  <c r="N30" i="4"/>
  <c r="N31" i="4"/>
  <c r="N32" i="4"/>
  <c r="N33" i="4"/>
  <c r="Q6" i="4"/>
  <c r="Q7" i="4"/>
  <c r="Q8" i="4"/>
  <c r="Q9" i="4"/>
  <c r="Q31" i="4"/>
  <c r="T4" i="4"/>
  <c r="T5" i="4"/>
  <c r="D4" i="4"/>
  <c r="D5" i="4"/>
  <c r="D32" i="4"/>
  <c r="G4" i="4"/>
  <c r="G5" i="4"/>
  <c r="G30" i="4"/>
  <c r="G31" i="4"/>
  <c r="G32" i="4"/>
  <c r="G33" i="4"/>
  <c r="K4" i="4"/>
  <c r="K5" i="4"/>
  <c r="Q10" i="4"/>
  <c r="Q15" i="4"/>
  <c r="Q17" i="4"/>
  <c r="Q19" i="4"/>
  <c r="Q21" i="4"/>
  <c r="Q26" i="4"/>
  <c r="Q28" i="4"/>
  <c r="Q30" i="4"/>
  <c r="Q32" i="4"/>
  <c r="AA5" i="1" l="1"/>
  <c r="Z5" i="1"/>
  <c r="Y5" i="1"/>
  <c r="X5" i="1"/>
  <c r="W5" i="1"/>
  <c r="V5" i="1"/>
  <c r="U5" i="1"/>
  <c r="T5" i="1"/>
  <c r="S5" i="1"/>
  <c r="R5" i="1"/>
  <c r="R6" i="1" s="1"/>
  <c r="Q5" i="1"/>
  <c r="P5" i="1"/>
  <c r="O5" i="1"/>
  <c r="N5" i="1"/>
  <c r="M5" i="1"/>
  <c r="L5" i="1"/>
  <c r="K5" i="1"/>
  <c r="J5" i="1"/>
  <c r="I5" i="1"/>
  <c r="H5" i="1"/>
  <c r="G5" i="1"/>
  <c r="F5" i="1"/>
  <c r="F6" i="1" s="1"/>
  <c r="E5" i="1"/>
  <c r="D5" i="1"/>
  <c r="C5" i="1"/>
  <c r="B5" i="1"/>
  <c r="AA4" i="1"/>
  <c r="Z4" i="1"/>
  <c r="Y4" i="1"/>
  <c r="X4" i="1"/>
  <c r="W4" i="1"/>
  <c r="V4" i="1"/>
  <c r="U4" i="1"/>
  <c r="U6" i="1" s="1"/>
  <c r="T4" i="1"/>
  <c r="T6" i="1" s="1"/>
  <c r="S4" i="1"/>
  <c r="R4" i="1"/>
  <c r="Q4" i="1"/>
  <c r="P4" i="1"/>
  <c r="O4" i="1"/>
  <c r="N4" i="1"/>
  <c r="M4" i="1"/>
  <c r="L4" i="1"/>
  <c r="K4" i="1"/>
  <c r="J4" i="1"/>
  <c r="I4" i="1"/>
  <c r="I6" i="1" s="1"/>
  <c r="H4" i="1"/>
  <c r="H6" i="1" s="1"/>
  <c r="G4" i="1"/>
  <c r="F4" i="1"/>
  <c r="E4" i="1"/>
  <c r="D4" i="1"/>
  <c r="C4" i="1"/>
  <c r="B4" i="1"/>
  <c r="AA3" i="1"/>
  <c r="Z3" i="1"/>
  <c r="Y3" i="1"/>
  <c r="X3" i="1"/>
  <c r="W3" i="1"/>
  <c r="W6" i="1" s="1"/>
  <c r="V3" i="1"/>
  <c r="V6" i="1" s="1"/>
  <c r="U3" i="1"/>
  <c r="T3" i="1"/>
  <c r="S3" i="1"/>
  <c r="S6" i="1" s="1"/>
  <c r="R3" i="1"/>
  <c r="Q3" i="1"/>
  <c r="Q6" i="1" s="1"/>
  <c r="P3" i="1"/>
  <c r="O3" i="1"/>
  <c r="N3" i="1"/>
  <c r="M3" i="1"/>
  <c r="L3" i="1"/>
  <c r="K3" i="1"/>
  <c r="J3" i="1"/>
  <c r="J6" i="1" s="1"/>
  <c r="I3" i="1"/>
  <c r="H3" i="1"/>
  <c r="G3" i="1"/>
  <c r="G6" i="1" s="1"/>
  <c r="F3" i="1"/>
  <c r="E3" i="1"/>
  <c r="E6" i="1" s="1"/>
  <c r="D3" i="1"/>
  <c r="D6" i="1" s="1"/>
  <c r="C3" i="1"/>
  <c r="C6" i="1" s="1"/>
  <c r="B3" i="1"/>
  <c r="B6" i="1" s="1"/>
  <c r="AA6" i="1"/>
  <c r="Z6" i="1"/>
  <c r="Y6" i="1"/>
  <c r="X6" i="1"/>
  <c r="P6" i="1"/>
  <c r="O6" i="1"/>
  <c r="N6" i="1"/>
  <c r="M6" i="1"/>
  <c r="L6" i="1"/>
  <c r="K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tc={48D7CEE9-68F4-47CB-829A-B50BD49D79BA}</author>
    <author>tc={12946F16-04F8-4D5F-A253-970764964732}</author>
    <author>tc={BCE572C0-C8D9-4302-B216-D0DF35986247}</author>
    <author>tc={D184595E-6424-4DE6-87B5-67535B0664CE}</author>
    <author>tc={19B4E8F1-B058-417B-8D33-BEB1487970EA}</author>
    <author>tc={F6FF6F46-5473-4B61-95FA-71F9936154DF}</author>
    <author>tc={5F875375-6A07-41F5-BB00-75914AC09CA7}</author>
    <author>tc={048CE6D7-E224-41E2-BDB3-DDB195BD421C}</author>
    <author>tc={C3FAB3F6-A9BC-4420-9EDC-67A649310460}</author>
    <author>tc={185FD594-7690-40D0-A346-597B8ADA9035}</author>
    <author>tc={799A29D8-B6FC-4B2C-A172-704BD0570CC0}</author>
    <author>tc={30054ED9-3AA2-470A-B7DF-C9D3BC8F61A7}</author>
    <author>tc={39E23BD5-B484-435A-BD54-DE665A427DD5}</author>
    <author>tc={C334D963-F6F9-4AC9-88B1-A31BDE1ACFAF}</author>
    <author>tc={E07EAC14-B629-4BC5-AE26-6CC4FA896278}</author>
    <author>tc={B7229C25-4625-46E1-8510-039DDC1BC807}</author>
    <author>tc={26521D93-96F2-4F3B-8C48-A8189294B9FC}</author>
    <author>tc={F2877032-5319-4521-A977-F67779242769}</author>
    <author>tc={F66E5951-EFD8-438A-8CAD-CD43831CA4A2}</author>
    <author>tc={43534BFF-8B06-4301-8A70-9BE70A7990C2}</author>
    <author>tc={853885D7-66E4-48C6-8969-8F285D413A46}</author>
    <author>tc={BB336896-A495-4DC9-BF0B-C7B48A5EFD4B}</author>
    <author>tc={359DF065-AC29-449C-8865-37C85FE165CC}</author>
    <author>tc={29A56459-E950-4272-A972-3A9688BB628C}</author>
    <author>tc={E730A7D8-BA35-412C-9F98-0631D0A4FC3C}</author>
    <author>tc={12D2A307-EA9C-4136-BE33-6381A097E19E}</author>
    <author>tc={9B604C1A-2DE5-411D-8E24-FBDCBD9396A6}</author>
    <author>tc={F3D628EE-12D4-4E00-B367-E3D1C24D3995}</author>
    <author>tc={A7F18A79-D2D7-4349-98B3-5CCBA306DA32}</author>
    <author>tc={EA3EBDFB-0533-4EEE-93CB-6575CD5E963A}</author>
    <author>tc={AC978B44-8BAF-4CAA-A2AF-1606C16A7D1F}</author>
    <author>tc={8705C79A-C7A7-4DBB-903E-29CE859F24DE}</author>
    <author>tc={AC16B146-0739-40DE-92A8-5C33B434B6E4}</author>
    <author>tc={E29A2109-0908-4033-A44F-03012319E3FA}</author>
    <author>tc={5EB3CAE1-E04F-44FD-B9ED-293779D17323}</author>
    <author>tc={EFA717BB-7220-4F59-A3B4-33C016DB9A6D}</author>
    <author>tc={9182B7BA-4230-4CCB-A341-12B9B6EE58CF}</author>
    <author>tc={B74EBDB8-AE29-4F6F-A50E-830D2B188326}</author>
    <author>tc={A9BE0326-C2B0-46C4-B442-B4EA52AD01F1}</author>
    <author>tc={9FB2A86E-BBA4-49BD-83E8-D1B8F83FF285}</author>
    <author>tc={078CE067-5455-45AD-8ADA-DC04537F5D33}</author>
    <author>tc={5047EE9F-0BED-42C9-B9C4-486127A92E4F}</author>
  </authors>
  <commentList>
    <comment ref="C3" authorId="0" shapeId="0" xr:uid="{48D7CEE9-68F4-47CB-829A-B50BD49D79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Considered 4 Oceane Compliant Tickets, 7 UD Compliant Tickets and 1141 Bunge SNOW Compliant Tickets
Reply:
    SLA Oceane: 100% | SLA UD: 41% | SLA Bunge: 99% </t>
      </text>
    </comment>
    <comment ref="D3" authorId="1" shapeId="0" xr:uid="{12946F16-04F8-4D5F-A253-9707649647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Considered 4 Oceane Compliant Tickets, 7 UD Compliant Tickets and 1141 Bunge SNOW Compliant Tickets
Reply:
    SLA Oceane: 100% | SLA UD: 41% | SLA Bunge: 99% </t>
      </text>
    </comment>
    <comment ref="E3" authorId="2" shapeId="0" xr:uid="{BCE572C0-C8D9-4302-B216-D0DF359862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Considered 4 Oceane Compliant Tickets, 7 UD Compliant Tickets and 1141 Bunge SNOW Compliant Tickets
Reply:
    SLA Oceane: 100% | SLA UD: 41% | SLA Bunge: 99% </t>
      </text>
    </comment>
    <comment ref="F3" authorId="3" shapeId="0" xr:uid="{D184595E-6424-4DE6-87B5-67535B0664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Considered 4 Oceane Compliant Tickets, 7 UD Compliant Tickets and 1141 Bunge SNOW Compliant Tickets
Reply:
    SLA Oceane: 100% | SLA UD: 41% | SLA Bunge: 99% </t>
      </text>
    </comment>
    <comment ref="G3" authorId="4" shapeId="0" xr:uid="{19B4E8F1-B058-417B-8D33-BEB148797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Considered 4 Oceane Compliant Tickets, 7 UD Compliant Tickets and 1141 Bunge SNOW Compliant Tickets
Reply:
    SLA Oceane: 100% | SLA UD: 41% | SLA Bunge: 99% </t>
      </text>
    </comment>
    <comment ref="H3" authorId="5" shapeId="0" xr:uid="{F6FF6F46-5473-4B61-95FA-71F9936154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Considered 4 Oceane Compliant Tickets, 7 UD Compliant Tickets and 1141 Bunge SNOW Compliant Tickets
Reply:
    SLA Oceane: 100% | SLA UD: 41% | SLA Bunge: 99% </t>
      </text>
    </comment>
    <comment ref="I3" authorId="6" shapeId="0" xr:uid="{5F875375-6A07-41F5-BB00-75914AC09C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Considered 4 Oceane Compliant Tickets, 7 UD Compliant Tickets and 1141 Bunge SNOW Compliant Tickets
Reply:
    SLA Oceane: 100% | SLA UD: 41% | SLA Bunge: 99% </t>
      </text>
    </comment>
    <comment ref="C4" authorId="7" shapeId="0" xr:uid="{048CE6D7-E224-41E2-BDB3-DDB195BD421C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OD SLA%: 97%
Proactive: 99%
Reactive: 95%
Global Oceane SLA%: 87%
Proactive: 92%
Reactive: 79%
Global UD SLA%: 81%
Proactive: 79%
Reactive: 100%</t>
      </text>
    </comment>
    <comment ref="D4" authorId="8" shapeId="0" xr:uid="{C3FAB3F6-A9BC-4420-9EDC-67A649310460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OD SLA%: 97%
Proactive: 99%
Reactive: 95%
Global Oceane SLA%: 87%
Proactive: 92%
Reactive: 79%
Global UD SLA%: 81%
Proactive: 79%
Reactive: 100%</t>
      </text>
    </comment>
    <comment ref="E4" authorId="9" shapeId="0" xr:uid="{185FD594-7690-40D0-A346-597B8ADA9035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OD SLA%: 97%
Proactive: 99%
Reactive: 95%
Global Oceane SLA%: 87%
Proactive: 92%
Reactive: 79%
Global UD SLA%: 81%
Proactive: 79%
Reactive: 100%</t>
      </text>
    </comment>
    <comment ref="F4" authorId="10" shapeId="0" xr:uid="{799A29D8-B6FC-4B2C-A172-704BD0570CC0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OD SLA%: 97%
Proactive: 99%
Reactive: 95%
Global Oceane SLA%: 87%
Proactive: 92%
Reactive: 79%
Global UD SLA%: 81%
Proactive: 79%
Reactive: 100%</t>
      </text>
    </comment>
    <comment ref="G4" authorId="11" shapeId="0" xr:uid="{30054ED9-3AA2-470A-B7DF-C9D3BC8F61A7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OD SLA%: 97%
Proactive: 99%
Reactive: 95%
Global Oceane SLA%: 87%
Proactive: 92%
Reactive: 79%
Global UD SLA%: 81%
Proactive: 79%
Reactive: 100%</t>
      </text>
    </comment>
    <comment ref="H4" authorId="12" shapeId="0" xr:uid="{39E23BD5-B484-435A-BD54-DE665A427DD5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OD SLA%: 97%
Proactive: 99%
Reactive: 95%
Global Oceane SLA%: 87%
Proactive: 92%
Reactive: 79%
Global UD SLA%: 81%
Proactive: 79%
Reactive: 100%</t>
      </text>
    </comment>
    <comment ref="I4" authorId="13" shapeId="0" xr:uid="{C334D963-F6F9-4AC9-88B1-A31BDE1ACFAF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OD SLA%: 97%
Proactive: 99%
Reactive: 95%
Global Oceane SLA%: 87%
Proactive: 92%
Reactive: 79%
Global UD SLA%: 81%
Proactive: 79%
Reactive: 100%</t>
      </text>
    </comment>
    <comment ref="C7" authorId="14" shapeId="0" xr:uid="{E07EAC14-B629-4BC5-AE26-6CC4FA89627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on the calculation: 4 Oceane tickets. No UD or BUNGE P0/P1 tickets eligible.</t>
      </text>
    </comment>
    <comment ref="D7" authorId="15" shapeId="0" xr:uid="{B7229C25-4625-46E1-8510-039DDC1BC80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on the calculation: 4 Oceane tickets. No UD or BUNGE P0/P1 tickets eligible.</t>
      </text>
    </comment>
    <comment ref="E7" authorId="16" shapeId="0" xr:uid="{26521D93-96F2-4F3B-8C48-A8189294B9F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on the calculation: 4 Oceane tickets. No UD or BUNGE P0/P1 tickets eligible.</t>
      </text>
    </comment>
    <comment ref="F7" authorId="17" shapeId="0" xr:uid="{F2877032-5319-4521-A977-F6777924276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on the calculation: 4 Oceane tickets. No UD or BUNGE P0/P1 tickets eligible.</t>
      </text>
    </comment>
    <comment ref="G7" authorId="18" shapeId="0" xr:uid="{F66E5951-EFD8-438A-8CAD-CD43831CA4A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on the calculation: 4 Oceane tickets. No UD or BUNGE P0/P1 tickets eligible.</t>
      </text>
    </comment>
    <comment ref="H7" authorId="19" shapeId="0" xr:uid="{43534BFF-8B06-4301-8A70-9BE70A7990C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on the calculation: 4 Oceane tickets. No UD or BUNGE P0/P1 tickets eligible.</t>
      </text>
    </comment>
    <comment ref="I7" authorId="20" shapeId="0" xr:uid="{853885D7-66E4-48C6-8969-8F285D413A4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on the calculation: 4 Oceane tickets. No UD or BUNGE P0/P1 tickets eligible.</t>
      </text>
    </comment>
    <comment ref="C8" authorId="21" shapeId="0" xr:uid="{BB336896-A495-4DC9-BF0B-C7B48A5EFD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Global Aug 2025 TTR calculated using Oceane datasets only.  </t>
      </text>
    </comment>
    <comment ref="D8" authorId="22" shapeId="0" xr:uid="{359DF065-AC29-449C-8865-37C85FE165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Global Aug 2025 TTR calculated using Oceane datasets only.  </t>
      </text>
    </comment>
    <comment ref="E8" authorId="23" shapeId="0" xr:uid="{29A56459-E950-4272-A972-3A9688BB62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Global Aug 2025 TTR calculated using Oceane datasets only.  </t>
      </text>
    </comment>
    <comment ref="F8" authorId="24" shapeId="0" xr:uid="{E730A7D8-BA35-412C-9F98-0631D0A4FC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Global Aug 2025 TTR calculated using Oceane datasets only.  </t>
      </text>
    </comment>
    <comment ref="G8" authorId="25" shapeId="0" xr:uid="{12D2A307-EA9C-4136-BE33-6381A097E1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Global Aug 2025 TTR calculated using Oceane datasets only.  </t>
      </text>
    </comment>
    <comment ref="H8" authorId="26" shapeId="0" xr:uid="{9B604C1A-2DE5-411D-8E24-FBDCBD9396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Global Aug 2025 TTR calculated using Oceane datasets only.  </t>
      </text>
    </comment>
    <comment ref="I8" authorId="27" shapeId="0" xr:uid="{F3D628EE-12D4-4E00-B367-E3D1C24D39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Global Aug 2025 TTR calculated using Oceane datasets only.  </t>
      </text>
    </comment>
    <comment ref="C11" authorId="28" shapeId="0" xr:uid="{A7F18A79-D2D7-4349-98B3-5CCBA306DA3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17 UD digital tickets on the calculation</t>
      </text>
    </comment>
    <comment ref="D11" authorId="29" shapeId="0" xr:uid="{EA3EBDFB-0533-4EEE-93CB-6575CD5E963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17 UD digital tickets on the calculation</t>
      </text>
    </comment>
    <comment ref="E11" authorId="30" shapeId="0" xr:uid="{AC978B44-8BAF-4CAA-A2AF-1606C16A7D1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17 UD digital tickets on the calculation</t>
      </text>
    </comment>
    <comment ref="F11" authorId="31" shapeId="0" xr:uid="{8705C79A-C7A7-4DBB-903E-29CE859F24D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17 UD digital tickets on the calculation</t>
      </text>
    </comment>
    <comment ref="G11" authorId="32" shapeId="0" xr:uid="{AC16B146-0739-40DE-92A8-5C33B434B6E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17 UD digital tickets on the calculation</t>
      </text>
    </comment>
    <comment ref="H11" authorId="33" shapeId="0" xr:uid="{E29A2109-0908-4033-A44F-03012319E3F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17 UD digital tickets on the calculation</t>
      </text>
    </comment>
    <comment ref="I11" authorId="34" shapeId="0" xr:uid="{5EB3CAE1-E04F-44FD-B9ED-293779D1732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17 UD digital tickets on the calculation</t>
      </text>
    </comment>
    <comment ref="C13" authorId="35" shapeId="0" xr:uid="{EFA717BB-7220-4F59-A3B4-33C016DB9A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Increase in % due to addition of MMG SPLUNK Tickets (Internal DU )
</t>
      </text>
    </comment>
    <comment ref="D13" authorId="36" shapeId="0" xr:uid="{9182B7BA-4230-4CCB-A341-12B9B6EE58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Increase in % due to addition of MMG SPLUNK Tickets (Internal DU )
</t>
      </text>
    </comment>
    <comment ref="E13" authorId="37" shapeId="0" xr:uid="{B74EBDB8-AE29-4F6F-A50E-830D2B1883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Increase in % due to addition of MMG SPLUNK Tickets (Internal DU )
</t>
      </text>
    </comment>
    <comment ref="F13" authorId="38" shapeId="0" xr:uid="{A9BE0326-C2B0-46C4-B442-B4EA52AD01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Increase in % due to addition of MMG SPLUNK Tickets (Internal DU )
</t>
      </text>
    </comment>
    <comment ref="G13" authorId="39" shapeId="0" xr:uid="{9FB2A86E-BBA4-49BD-83E8-D1B8F83FF2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Increase in % due to addition of MMG SPLUNK Tickets (Internal DU )
</t>
      </text>
    </comment>
    <comment ref="H13" authorId="40" shapeId="0" xr:uid="{078CE067-5455-45AD-8ADA-DC04537F5D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Increase in % due to addition of MMG SPLUNK Tickets (Internal DU )
</t>
      </text>
    </comment>
    <comment ref="I13" authorId="41" shapeId="0" xr:uid="{5047EE9F-0BED-42C9-B9C4-486127A92E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Increase in % due to addition of MMG SPLUNK Tickets (Internal DU )
</t>
      </text>
    </comment>
  </commentList>
</comments>
</file>

<file path=xl/sharedStrings.xml><?xml version="1.0" encoding="utf-8"?>
<sst xmlns="http://schemas.openxmlformats.org/spreadsheetml/2006/main" count="116" uniqueCount="59">
  <si>
    <t>Region</t>
  </si>
  <si>
    <t>Brazil</t>
  </si>
  <si>
    <t>Egypt</t>
  </si>
  <si>
    <t>India</t>
  </si>
  <si>
    <t>Total</t>
  </si>
  <si>
    <t>KPI</t>
  </si>
  <si>
    <t>01/25</t>
  </si>
  <si>
    <t>02/25</t>
  </si>
  <si>
    <t>03/25</t>
  </si>
  <si>
    <t>04/25</t>
  </si>
  <si>
    <t>05/25</t>
  </si>
  <si>
    <t>06/25</t>
  </si>
  <si>
    <t>07/25</t>
  </si>
  <si>
    <t>08/25</t>
  </si>
  <si>
    <t>09/25</t>
  </si>
  <si>
    <t>International SLA (TRGTR)</t>
  </si>
  <si>
    <t>Brésil</t>
  </si>
  <si>
    <t>Egypte</t>
  </si>
  <si>
    <t>Inde</t>
  </si>
  <si>
    <t>International TTR  (DMRET)</t>
  </si>
  <si>
    <t>International Digital usage</t>
  </si>
  <si>
    <t>International Autonomy %</t>
  </si>
  <si>
    <t xml:space="preserve">Disclaimer : SLA compliance data are significanty higher, as these data are calibrated for French perimeter </t>
  </si>
  <si>
    <t>ICS</t>
  </si>
  <si>
    <t>Q1 2023</t>
  </si>
  <si>
    <t>Q2 2023</t>
  </si>
  <si>
    <t>H1 2023</t>
  </si>
  <si>
    <t>Q3 2023</t>
  </si>
  <si>
    <t>Q4 2023</t>
  </si>
  <si>
    <t>H2 2023</t>
  </si>
  <si>
    <t>Q1 2024</t>
  </si>
  <si>
    <t>Q2 2024</t>
  </si>
  <si>
    <t>H1 2024</t>
  </si>
  <si>
    <t>Q3 2024</t>
  </si>
  <si>
    <t>Q4 2024</t>
  </si>
  <si>
    <t>H2 2024</t>
  </si>
  <si>
    <t>Q1 2025</t>
  </si>
  <si>
    <t>Q2 2025</t>
  </si>
  <si>
    <t>H1 2025</t>
  </si>
  <si>
    <t>Q3 2025</t>
  </si>
  <si>
    <t>Q4 2025</t>
  </si>
  <si>
    <t>H2 2025</t>
  </si>
  <si>
    <t>Total volume</t>
  </si>
  <si>
    <t>Proactive</t>
  </si>
  <si>
    <t>Reactive</t>
  </si>
  <si>
    <t>SLA compliance (&gt;=90%)</t>
  </si>
  <si>
    <t>TTR/DMRET - P1/Service Interrompu (&lt;=240 mins)</t>
  </si>
  <si>
    <t>Autonomy (&gt;=55%)</t>
  </si>
  <si>
    <t>Digital Usage - Reactive (&gt;=50%)</t>
  </si>
  <si>
    <t>Zero Touch - Proactive (&gt;=10%)</t>
  </si>
  <si>
    <t>m-NPS (&gt;=8.1)</t>
  </si>
  <si>
    <t>ECS</t>
  </si>
  <si>
    <t>SLA compliance (&gt;=87%)</t>
  </si>
  <si>
    <t>Autonomy (&gt;=60%)</t>
  </si>
  <si>
    <t>Digital Usage - Reactive (&gt;=70%)</t>
  </si>
  <si>
    <t>BCS</t>
  </si>
  <si>
    <t>Autonomy (&gt;=80%)</t>
  </si>
  <si>
    <t>Digital Usage - Reactive (&gt;=90%)</t>
  </si>
  <si>
    <t>Zero Touch - Proactive (&gt;=15%)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</si>
</sst>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#/##"/>
    <numFmt numFmtId="165" formatCode="mm/yy;@"/>
    <numFmt numFmtId="166" formatCode="0.0%"/>
    <numFmt numFmtId="167" formatCode="0.0"/>
    <numFmt numFmtId="168" formatCode="0,&quot;K&quot;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8"/>
      <color rgb="FFFFFFFF"/>
      <name val="Arial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</font>
    <font>
      <sz val="8"/>
      <name val="Arial"/>
      <family val="2"/>
    </font>
    <font>
      <sz val="8"/>
      <name val="Arial"/>
    </font>
    <font>
      <b/>
      <sz val="8"/>
      <name val="Arial"/>
      <family val="2"/>
    </font>
    <font>
      <sz val="10"/>
      <name val="Arial"/>
      <family val="2"/>
    </font>
    <font>
      <b/>
      <sz val="11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70C0"/>
        <bgColor rgb="FFFFCC00"/>
      </patternFill>
    </fill>
    <fill>
      <patternFill patternType="solid">
        <fgColor rgb="FFFFC000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ED7D31"/>
        <bgColor rgb="FFFFCC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</cellStyleXfs>
  <cellXfs count="74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16" fontId="5" fillId="3" borderId="2" xfId="0" applyNumberFormat="1" applyFont="1" applyFill="1" applyBorder="1" applyAlignment="1">
      <alignment horizontal="center" vertical="center"/>
    </xf>
    <xf numFmtId="16" fontId="6" fillId="3" borderId="2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3" fontId="7" fillId="5" borderId="0" xfId="0" applyNumberFormat="1" applyFont="1" applyFill="1" applyAlignment="1">
      <alignment horizontal="center" vertical="center"/>
    </xf>
    <xf numFmtId="3" fontId="7" fillId="6" borderId="0" xfId="0" applyNumberFormat="1" applyFont="1" applyFill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3" fontId="7" fillId="5" borderId="5" xfId="0" applyNumberFormat="1" applyFont="1" applyFill="1" applyBorder="1" applyAlignment="1">
      <alignment horizontal="center" vertical="center"/>
    </xf>
    <xf numFmtId="3" fontId="7" fillId="6" borderId="5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vertical="center" wrapText="1"/>
    </xf>
    <xf numFmtId="1" fontId="0" fillId="0" borderId="0" xfId="0" applyNumberFormat="1"/>
    <xf numFmtId="164" fontId="4" fillId="9" borderId="7" xfId="2" applyNumberFormat="1" applyFont="1" applyFill="1" applyBorder="1" applyAlignment="1">
      <alignment horizontal="center" vertical="center"/>
    </xf>
    <xf numFmtId="165" fontId="9" fillId="8" borderId="9" xfId="3" applyNumberFormat="1" applyFont="1" applyFill="1" applyBorder="1" applyAlignment="1">
      <alignment horizontal="center" vertical="center" wrapText="1"/>
    </xf>
    <xf numFmtId="165" fontId="9" fillId="10" borderId="9" xfId="3" applyNumberFormat="1" applyFont="1" applyFill="1" applyBorder="1" applyAlignment="1">
      <alignment horizontal="center" vertical="center" wrapText="1"/>
    </xf>
    <xf numFmtId="165" fontId="9" fillId="10" borderId="10" xfId="3" applyNumberFormat="1" applyFont="1" applyFill="1" applyBorder="1" applyAlignment="1">
      <alignment horizontal="center" vertical="center" wrapText="1"/>
    </xf>
    <xf numFmtId="165" fontId="9" fillId="10" borderId="6" xfId="3" applyNumberFormat="1" applyFont="1" applyFill="1" applyBorder="1" applyAlignment="1">
      <alignment horizontal="center" vertical="center" wrapText="1"/>
    </xf>
    <xf numFmtId="165" fontId="9" fillId="10" borderId="8" xfId="3" applyNumberFormat="1" applyFont="1" applyFill="1" applyBorder="1" applyAlignment="1">
      <alignment horizontal="center" vertical="center" wrapText="1"/>
    </xf>
    <xf numFmtId="0" fontId="3" fillId="0" borderId="6" xfId="0" applyFont="1" applyBorder="1"/>
    <xf numFmtId="166" fontId="3" fillId="0" borderId="6" xfId="0" applyNumberFormat="1" applyFont="1" applyBorder="1"/>
    <xf numFmtId="0" fontId="7" fillId="0" borderId="6" xfId="2" applyFont="1" applyBorder="1" applyAlignment="1">
      <alignment horizontal="left" vertical="center"/>
    </xf>
    <xf numFmtId="0" fontId="9" fillId="11" borderId="6" xfId="2" applyFont="1" applyFill="1" applyBorder="1" applyAlignment="1">
      <alignment horizontal="left" vertical="center"/>
    </xf>
    <xf numFmtId="166" fontId="7" fillId="11" borderId="6" xfId="4" applyNumberFormat="1" applyFont="1" applyFill="1" applyBorder="1" applyAlignment="1">
      <alignment horizontal="center" vertical="center"/>
    </xf>
    <xf numFmtId="166" fontId="8" fillId="11" borderId="6" xfId="4" applyNumberFormat="1" applyFont="1" applyFill="1" applyBorder="1" applyAlignment="1">
      <alignment horizontal="center" vertical="center"/>
    </xf>
    <xf numFmtId="166" fontId="7" fillId="5" borderId="6" xfId="0" applyNumberFormat="1" applyFont="1" applyFill="1" applyBorder="1" applyAlignment="1">
      <alignment horizontal="center"/>
    </xf>
    <xf numFmtId="166" fontId="8" fillId="5" borderId="6" xfId="0" applyNumberFormat="1" applyFont="1" applyFill="1" applyBorder="1" applyAlignment="1">
      <alignment horizontal="center"/>
    </xf>
    <xf numFmtId="2" fontId="9" fillId="11" borderId="6" xfId="2" applyNumberFormat="1" applyFont="1" applyFill="1" applyBorder="1" applyAlignment="1">
      <alignment horizontal="left" vertical="center"/>
    </xf>
    <xf numFmtId="2" fontId="7" fillId="11" borderId="6" xfId="0" applyNumberFormat="1" applyFont="1" applyFill="1" applyBorder="1" applyAlignment="1">
      <alignment horizontal="center"/>
    </xf>
    <xf numFmtId="2" fontId="8" fillId="11" borderId="6" xfId="0" applyNumberFormat="1" applyFont="1" applyFill="1" applyBorder="1" applyAlignment="1">
      <alignment horizontal="center"/>
    </xf>
    <xf numFmtId="2" fontId="7" fillId="5" borderId="6" xfId="4" applyNumberFormat="1" applyFont="1" applyFill="1" applyBorder="1" applyAlignment="1">
      <alignment horizontal="center" vertical="center"/>
    </xf>
    <xf numFmtId="2" fontId="8" fillId="5" borderId="6" xfId="4" applyNumberFormat="1" applyFont="1" applyFill="1" applyBorder="1" applyAlignment="1">
      <alignment horizontal="center" vertical="center"/>
    </xf>
    <xf numFmtId="2" fontId="7" fillId="0" borderId="6" xfId="4" applyNumberFormat="1" applyFont="1" applyBorder="1" applyAlignment="1">
      <alignment horizontal="center" vertical="center"/>
    </xf>
    <xf numFmtId="2" fontId="8" fillId="0" borderId="6" xfId="4" applyNumberFormat="1" applyFont="1" applyBorder="1" applyAlignment="1">
      <alignment horizontal="center" vertical="center"/>
    </xf>
    <xf numFmtId="9" fontId="7" fillId="5" borderId="6" xfId="1" applyFont="1" applyFill="1" applyBorder="1" applyAlignment="1">
      <alignment horizontal="center" vertical="center"/>
    </xf>
    <xf numFmtId="9" fontId="8" fillId="5" borderId="6" xfId="1" applyFont="1" applyFill="1" applyBorder="1" applyAlignment="1">
      <alignment horizontal="center" vertical="center"/>
    </xf>
    <xf numFmtId="9" fontId="7" fillId="11" borderId="6" xfId="2" applyNumberFormat="1" applyFont="1" applyFill="1" applyBorder="1" applyAlignment="1">
      <alignment horizontal="center" vertical="center"/>
    </xf>
    <xf numFmtId="9" fontId="8" fillId="11" borderId="6" xfId="2" applyNumberFormat="1" applyFont="1" applyFill="1" applyBorder="1" applyAlignment="1">
      <alignment horizontal="center" vertical="center"/>
    </xf>
    <xf numFmtId="9" fontId="7" fillId="5" borderId="6" xfId="4" applyNumberFormat="1" applyFont="1" applyFill="1" applyBorder="1" applyAlignment="1">
      <alignment horizontal="center" vertical="center"/>
    </xf>
    <xf numFmtId="9" fontId="8" fillId="5" borderId="6" xfId="4" applyNumberFormat="1" applyFont="1" applyFill="1" applyBorder="1" applyAlignment="1">
      <alignment horizontal="center" vertical="center"/>
    </xf>
    <xf numFmtId="9" fontId="7" fillId="0" borderId="6" xfId="1" applyFont="1" applyFill="1" applyBorder="1" applyAlignment="1">
      <alignment horizontal="center" vertical="center"/>
    </xf>
    <xf numFmtId="9" fontId="8" fillId="0" borderId="6" xfId="1" applyFont="1" applyBorder="1" applyAlignment="1">
      <alignment horizontal="center" vertical="center"/>
    </xf>
    <xf numFmtId="9" fontId="7" fillId="5" borderId="6" xfId="0" applyNumberFormat="1" applyFont="1" applyFill="1" applyBorder="1" applyAlignment="1">
      <alignment horizontal="center"/>
    </xf>
    <xf numFmtId="9" fontId="8" fillId="5" borderId="6" xfId="0" applyNumberFormat="1" applyFont="1" applyFill="1" applyBorder="1" applyAlignment="1">
      <alignment horizontal="center"/>
    </xf>
    <xf numFmtId="9" fontId="7" fillId="11" borderId="6" xfId="0" applyNumberFormat="1" applyFont="1" applyFill="1" applyBorder="1" applyAlignment="1">
      <alignment horizontal="center"/>
    </xf>
    <xf numFmtId="9" fontId="8" fillId="11" borderId="6" xfId="0" applyNumberFormat="1" applyFont="1" applyFill="1" applyBorder="1" applyAlignment="1">
      <alignment horizontal="center"/>
    </xf>
    <xf numFmtId="9" fontId="7" fillId="0" borderId="6" xfId="4" applyNumberFormat="1" applyFont="1" applyBorder="1" applyAlignment="1">
      <alignment horizontal="center" vertical="center"/>
    </xf>
    <xf numFmtId="9" fontId="8" fillId="0" borderId="6" xfId="4" applyNumberFormat="1" applyFont="1" applyBorder="1" applyAlignment="1">
      <alignment horizontal="center" vertical="center"/>
    </xf>
    <xf numFmtId="9" fontId="7" fillId="0" borderId="6" xfId="0" applyNumberFormat="1" applyFont="1" applyBorder="1" applyAlignment="1">
      <alignment horizontal="center"/>
    </xf>
    <xf numFmtId="9" fontId="8" fillId="0" borderId="6" xfId="0" applyNumberFormat="1" applyFont="1" applyBorder="1" applyAlignment="1">
      <alignment horizontal="center"/>
    </xf>
    <xf numFmtId="0" fontId="2" fillId="12" borderId="0" xfId="0" applyFont="1" applyFill="1"/>
    <xf numFmtId="0" fontId="2" fillId="13" borderId="0" xfId="0" applyFont="1" applyFill="1"/>
    <xf numFmtId="168" fontId="0" fillId="0" borderId="0" xfId="0" applyNumberFormat="1"/>
    <xf numFmtId="168" fontId="2" fillId="14" borderId="0" xfId="0" applyNumberFormat="1" applyFont="1" applyFill="1"/>
    <xf numFmtId="168" fontId="2" fillId="15" borderId="0" xfId="0" applyNumberFormat="1" applyFont="1" applyFill="1"/>
    <xf numFmtId="9" fontId="0" fillId="0" borderId="0" xfId="0" applyNumberFormat="1"/>
    <xf numFmtId="9" fontId="0" fillId="0" borderId="0" xfId="1" applyFont="1"/>
    <xf numFmtId="9" fontId="2" fillId="0" borderId="0" xfId="1" applyFont="1"/>
    <xf numFmtId="0" fontId="2" fillId="16" borderId="0" xfId="0" applyFont="1" applyFill="1"/>
    <xf numFmtId="9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9" fontId="2" fillId="0" borderId="0" xfId="1" applyFont="1" applyAlignment="1">
      <alignment horizontal="right"/>
    </xf>
    <xf numFmtId="167" fontId="2" fillId="0" borderId="0" xfId="1" applyNumberFormat="1" applyFont="1"/>
    <xf numFmtId="167" fontId="2" fillId="0" borderId="0" xfId="0" applyNumberFormat="1" applyFont="1" applyAlignment="1">
      <alignment horizontal="right"/>
    </xf>
    <xf numFmtId="1" fontId="2" fillId="0" borderId="0" xfId="0" applyNumberFormat="1" applyFont="1"/>
    <xf numFmtId="3" fontId="2" fillId="0" borderId="0" xfId="1" applyNumberFormat="1" applyFont="1" applyAlignment="1">
      <alignment horizontal="right"/>
    </xf>
    <xf numFmtId="1" fontId="2" fillId="0" borderId="0" xfId="1" applyNumberFormat="1" applyFont="1" applyAlignment="1">
      <alignment horizontal="right"/>
    </xf>
    <xf numFmtId="9" fontId="0" fillId="17" borderId="0" xfId="1" applyFont="1" applyFill="1"/>
    <xf numFmtId="9" fontId="2" fillId="17" borderId="0" xfId="1" applyFont="1" applyFill="1"/>
    <xf numFmtId="0" fontId="11" fillId="0" borderId="0" xfId="0" applyFont="1"/>
  </cellXfs>
  <cellStyles count="5">
    <cellStyle name="% 10 2" xfId="3" xr:uid="{84732EAF-ABB5-4416-8CA7-4A9472D558BE}"/>
    <cellStyle name="Normal" xfId="0" builtinId="0"/>
    <cellStyle name="Normal 112 2" xfId="4" xr:uid="{80B7FF75-71C1-459F-A0DB-581251B65E6A}"/>
    <cellStyle name="Normal_Feuil1" xfId="2" xr:uid="{E168F69A-B92E-4248-A91D-1966FD9D2212}"/>
    <cellStyle name="Percent" xfId="1" builtinId="5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mm/yy;@"/>
      <fill>
        <patternFill patternType="solid">
          <fgColor rgb="FF000000"/>
          <bgColor rgb="FFFFFF99"/>
        </patternFill>
      </fill>
      <alignment horizontal="center" vertical="center" textRotation="0" wrapText="1" indent="0" justifyLastLine="0" shrinkToFit="0" readingOrder="0"/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2" defaultPivotStyle="PivotStyleLight16">
    <tableStyle name="TableStyleMedium2 2" pivot="0" count="7" xr9:uid="{4C0F420A-9D1E-4D93-9B89-7BE935A1667B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France Customer Support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'[1]Summary per Quarter'!$A$16</c:f>
              <c:strCache>
                <c:ptCount val="1"/>
                <c:pt idx="0">
                  <c:v>Total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Quarter'!$J$16:$U$16</c:f>
              <c:numCache>
                <c:formatCode>General</c:formatCode>
                <c:ptCount val="12"/>
                <c:pt idx="0">
                  <c:v>57075</c:v>
                </c:pt>
                <c:pt idx="1">
                  <c:v>52228</c:v>
                </c:pt>
                <c:pt idx="2">
                  <c:v>109303</c:v>
                </c:pt>
                <c:pt idx="3">
                  <c:v>55428</c:v>
                </c:pt>
                <c:pt idx="4">
                  <c:v>54515</c:v>
                </c:pt>
                <c:pt idx="5">
                  <c:v>109943</c:v>
                </c:pt>
                <c:pt idx="6">
                  <c:v>50298</c:v>
                </c:pt>
                <c:pt idx="7">
                  <c:v>57950</c:v>
                </c:pt>
                <c:pt idx="8">
                  <c:v>108248</c:v>
                </c:pt>
                <c:pt idx="9">
                  <c:v>55221</c:v>
                </c:pt>
                <c:pt idx="10">
                  <c:v>55002</c:v>
                </c:pt>
                <c:pt idx="11">
                  <c:v>110223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C-4B69-B309-ED971E5075DF}"/>
            </c:ext>
          </c:extLst>
        </c:ser>
        <c:ser>
          <c:idx val="1"/>
          <c:order val="1"/>
          <c:tx>
            <c:strRef>
              <c:f>'[1]Summary per Quarter'!$A$17</c:f>
              <c:strCache>
                <c:ptCount val="1"/>
                <c:pt idx="0">
                  <c:v>Proactive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Quarter'!$J$17:$U$17</c:f>
              <c:numCache>
                <c:formatCode>General</c:formatCode>
                <c:ptCount val="12"/>
                <c:pt idx="0">
                  <c:v>46068</c:v>
                </c:pt>
                <c:pt idx="1">
                  <c:v>46383</c:v>
                </c:pt>
                <c:pt idx="2">
                  <c:v>92451</c:v>
                </c:pt>
                <c:pt idx="3">
                  <c:v>48167</c:v>
                </c:pt>
                <c:pt idx="4">
                  <c:v>47847</c:v>
                </c:pt>
                <c:pt idx="5">
                  <c:v>96014</c:v>
                </c:pt>
                <c:pt idx="6">
                  <c:v>39082</c:v>
                </c:pt>
                <c:pt idx="7">
                  <c:v>45971</c:v>
                </c:pt>
                <c:pt idx="8">
                  <c:v>85053</c:v>
                </c:pt>
                <c:pt idx="9">
                  <c:v>44706</c:v>
                </c:pt>
                <c:pt idx="10">
                  <c:v>44920</c:v>
                </c:pt>
                <c:pt idx="11">
                  <c:v>89626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C-4B69-B309-ED971E5075DF}"/>
            </c:ext>
          </c:extLst>
        </c:ser>
        <c:ser>
          <c:idx val="2"/>
          <c:order val="2"/>
          <c:tx>
            <c:strRef>
              <c:f>'[1]Summary per Quarter'!$A$18</c:f>
              <c:strCache>
                <c:ptCount val="1"/>
                <c:pt idx="0">
                  <c:v>Reactive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Quarter'!$J$18:$U$18</c:f>
              <c:numCache>
                <c:formatCode>General</c:formatCode>
                <c:ptCount val="12"/>
                <c:pt idx="0">
                  <c:v>14766</c:v>
                </c:pt>
                <c:pt idx="1">
                  <c:v>10758</c:v>
                </c:pt>
                <c:pt idx="2">
                  <c:v>25524</c:v>
                </c:pt>
                <c:pt idx="3">
                  <c:v>10871</c:v>
                </c:pt>
                <c:pt idx="4">
                  <c:v>12205</c:v>
                </c:pt>
                <c:pt idx="5">
                  <c:v>23076</c:v>
                </c:pt>
                <c:pt idx="6">
                  <c:v>9732</c:v>
                </c:pt>
                <c:pt idx="7">
                  <c:v>9907</c:v>
                </c:pt>
                <c:pt idx="8">
                  <c:v>19639</c:v>
                </c:pt>
                <c:pt idx="9">
                  <c:v>9522</c:v>
                </c:pt>
                <c:pt idx="10">
                  <c:v>9608</c:v>
                </c:pt>
                <c:pt idx="11">
                  <c:v>19130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C-4B69-B309-ED971E507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220800"/>
        <c:axId val="1676219840"/>
      </c:barChart>
      <c:lineChart>
        <c:grouping val="standard"/>
        <c:varyColors val="0"/>
        <c:ser>
          <c:idx val="4"/>
          <c:order val="4"/>
          <c:tx>
            <c:strRef>
              <c:f>'[1]Summary per Quarter'!$A$20</c:f>
              <c:strCache>
                <c:ptCount val="1"/>
                <c:pt idx="0">
                  <c:v>TTR/DMRET - P1/Service Interrompu (&lt;=360 mins)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Quarter'!$J$20:$U$20</c:f>
              <c:numCache>
                <c:formatCode>General</c:formatCode>
                <c:ptCount val="12"/>
                <c:pt idx="0">
                  <c:v>382.66666666666669</c:v>
                </c:pt>
                <c:pt idx="1">
                  <c:v>393.66666666666669</c:v>
                </c:pt>
                <c:pt idx="2">
                  <c:v>388.16666666666669</c:v>
                </c:pt>
                <c:pt idx="3">
                  <c:v>487.33333333333331</c:v>
                </c:pt>
                <c:pt idx="4">
                  <c:v>438.33333333333331</c:v>
                </c:pt>
                <c:pt idx="5">
                  <c:v>462.83333333333331</c:v>
                </c:pt>
                <c:pt idx="6">
                  <c:v>694.33333333333337</c:v>
                </c:pt>
                <c:pt idx="7">
                  <c:v>567</c:v>
                </c:pt>
                <c:pt idx="8">
                  <c:v>630.66666666666674</c:v>
                </c:pt>
                <c:pt idx="9">
                  <c:v>662</c:v>
                </c:pt>
                <c:pt idx="10">
                  <c:v>683</c:v>
                </c:pt>
                <c:pt idx="11">
                  <c:v>672.5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AC-4B69-B309-ED971E507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220800"/>
        <c:axId val="1676219840"/>
      </c:lineChart>
      <c:lineChart>
        <c:grouping val="standard"/>
        <c:varyColors val="0"/>
        <c:ser>
          <c:idx val="3"/>
          <c:order val="3"/>
          <c:tx>
            <c:strRef>
              <c:f>'[1]Summary per Quarter'!$A$19</c:f>
              <c:strCache>
                <c:ptCount val="1"/>
                <c:pt idx="0">
                  <c:v>SLA compliance (&gt;=88%)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Quarter'!$J$19:$U$19</c:f>
              <c:numCache>
                <c:formatCode>General</c:formatCode>
                <c:ptCount val="12"/>
                <c:pt idx="0">
                  <c:v>0.90786666666666671</c:v>
                </c:pt>
                <c:pt idx="1">
                  <c:v>0.91259999999999997</c:v>
                </c:pt>
                <c:pt idx="2">
                  <c:v>0.91023333333333334</c:v>
                </c:pt>
                <c:pt idx="3">
                  <c:v>0.89710000000000001</c:v>
                </c:pt>
                <c:pt idx="4">
                  <c:v>0.89863333333333328</c:v>
                </c:pt>
                <c:pt idx="5">
                  <c:v>0.89786666666666659</c:v>
                </c:pt>
                <c:pt idx="6">
                  <c:v>0.89710000000000001</c:v>
                </c:pt>
                <c:pt idx="7">
                  <c:v>0.89633333333333332</c:v>
                </c:pt>
                <c:pt idx="8">
                  <c:v>0.89671666666666661</c:v>
                </c:pt>
                <c:pt idx="9">
                  <c:v>0.89130000000000009</c:v>
                </c:pt>
                <c:pt idx="10">
                  <c:v>0.88206666666666667</c:v>
                </c:pt>
                <c:pt idx="11">
                  <c:v>0.88668333333333338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AC-4B69-B309-ED971E5075DF}"/>
            </c:ext>
          </c:extLst>
        </c:ser>
        <c:ser>
          <c:idx val="5"/>
          <c:order val="5"/>
          <c:tx>
            <c:strRef>
              <c:f>'[1]Summary per Quarter'!$A$21</c:f>
              <c:strCache>
                <c:ptCount val="1"/>
                <c:pt idx="0">
                  <c:v>Autonomy (&gt;=95%)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Quarter'!$J$21:$U$21</c:f>
              <c:numCache>
                <c:formatCode>General</c:formatCode>
                <c:ptCount val="12"/>
                <c:pt idx="0">
                  <c:v>0.96730944191770885</c:v>
                </c:pt>
                <c:pt idx="1">
                  <c:v>0.97152268381108786</c:v>
                </c:pt>
                <c:pt idx="2">
                  <c:v>0.96941606286439841</c:v>
                </c:pt>
                <c:pt idx="3">
                  <c:v>0.97127077897176661</c:v>
                </c:pt>
                <c:pt idx="4">
                  <c:v>0.96905993331706919</c:v>
                </c:pt>
                <c:pt idx="5">
                  <c:v>0.9701653561444179</c:v>
                </c:pt>
                <c:pt idx="6">
                  <c:v>0.96619663332520123</c:v>
                </c:pt>
                <c:pt idx="7">
                  <c:v>0.96666666666666667</c:v>
                </c:pt>
                <c:pt idx="8">
                  <c:v>0.96643164999593401</c:v>
                </c:pt>
                <c:pt idx="9">
                  <c:v>0.96556666666666668</c:v>
                </c:pt>
                <c:pt idx="10">
                  <c:v>0.97099999999999997</c:v>
                </c:pt>
                <c:pt idx="11">
                  <c:v>0.96828333333333338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AC-4B69-B309-ED971E5075DF}"/>
            </c:ext>
          </c:extLst>
        </c:ser>
        <c:ser>
          <c:idx val="6"/>
          <c:order val="6"/>
          <c:tx>
            <c:strRef>
              <c:f>'[1]Summary per Quarter'!$A$22</c:f>
              <c:strCache>
                <c:ptCount val="1"/>
                <c:pt idx="0">
                  <c:v>Digital Usage - Reactive (&gt;=78%)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Quarter'!$J$22:$U$22</c:f>
              <c:numCache>
                <c:formatCode>General</c:formatCode>
                <c:ptCount val="12"/>
                <c:pt idx="0">
                  <c:v>0.82306140160349639</c:v>
                </c:pt>
                <c:pt idx="1">
                  <c:v>0.76435640502025848</c:v>
                </c:pt>
                <c:pt idx="2">
                  <c:v>0.79370890331187738</c:v>
                </c:pt>
                <c:pt idx="3">
                  <c:v>0.75666666666666671</c:v>
                </c:pt>
                <c:pt idx="4">
                  <c:v>0.75666666666666671</c:v>
                </c:pt>
                <c:pt idx="5">
                  <c:v>0.75666666666666671</c:v>
                </c:pt>
                <c:pt idx="6">
                  <c:v>0.76333333333333331</c:v>
                </c:pt>
                <c:pt idx="7">
                  <c:v>0.78799999999999992</c:v>
                </c:pt>
                <c:pt idx="8">
                  <c:v>0.77566666666666662</c:v>
                </c:pt>
                <c:pt idx="9">
                  <c:v>0.77326835016835016</c:v>
                </c:pt>
                <c:pt idx="10">
                  <c:v>0.78166666666666673</c:v>
                </c:pt>
                <c:pt idx="11">
                  <c:v>0.77746750841750845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AC-4B69-B309-ED971E5075DF}"/>
            </c:ext>
          </c:extLst>
        </c:ser>
        <c:ser>
          <c:idx val="7"/>
          <c:order val="7"/>
          <c:tx>
            <c:strRef>
              <c:f>'[1]Summary per Quarter'!$A$23</c:f>
              <c:strCache>
                <c:ptCount val="1"/>
                <c:pt idx="0">
                  <c:v>Zero Touch - Proactive (&gt;=42%)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Quarter'!$J$23:$U$23</c:f>
              <c:numCache>
                <c:formatCode>General</c:formatCode>
                <c:ptCount val="12"/>
                <c:pt idx="0">
                  <c:v>0.44389235431109103</c:v>
                </c:pt>
                <c:pt idx="1">
                  <c:v>0.4087552656161853</c:v>
                </c:pt>
                <c:pt idx="2">
                  <c:v>0.42632380996363817</c:v>
                </c:pt>
                <c:pt idx="3">
                  <c:v>0.42333333333333334</c:v>
                </c:pt>
                <c:pt idx="4">
                  <c:v>0.42666666666666669</c:v>
                </c:pt>
                <c:pt idx="5">
                  <c:v>0.42500000000000004</c:v>
                </c:pt>
                <c:pt idx="6">
                  <c:v>0.43333333333333335</c:v>
                </c:pt>
                <c:pt idx="7">
                  <c:v>0.45300000000000001</c:v>
                </c:pt>
                <c:pt idx="8">
                  <c:v>0.44316666666666671</c:v>
                </c:pt>
                <c:pt idx="9">
                  <c:v>0.40613039019129321</c:v>
                </c:pt>
                <c:pt idx="10">
                  <c:v>0.42333333333333334</c:v>
                </c:pt>
                <c:pt idx="11">
                  <c:v>0.41473186176231325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FAC-4B69-B309-ED971E5075DF}"/>
            </c:ext>
          </c:extLst>
        </c:ser>
        <c:ser>
          <c:idx val="8"/>
          <c:order val="8"/>
          <c:tx>
            <c:strRef>
              <c:f>'[1]Summary per Quarter'!$A$24</c:f>
              <c:strCache>
                <c:ptCount val="1"/>
                <c:pt idx="0">
                  <c:v>m-NPS (&gt;=8.1)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Quarter'!$J$24:$U$24</c:f>
              <c:numCache>
                <c:formatCode>General</c:formatCode>
                <c:ptCount val="12"/>
                <c:pt idx="0">
                  <c:v>8.4233333333333338</c:v>
                </c:pt>
                <c:pt idx="1">
                  <c:v>8.49</c:v>
                </c:pt>
                <c:pt idx="2">
                  <c:v>8.456666666666667</c:v>
                </c:pt>
                <c:pt idx="3">
                  <c:v>8.4533333333333331</c:v>
                </c:pt>
                <c:pt idx="4">
                  <c:v>8.69</c:v>
                </c:pt>
                <c:pt idx="5">
                  <c:v>8.5716666666666654</c:v>
                </c:pt>
                <c:pt idx="6">
                  <c:v>8.7933333333333348</c:v>
                </c:pt>
                <c:pt idx="7">
                  <c:v>8.6733333333333338</c:v>
                </c:pt>
                <c:pt idx="8">
                  <c:v>8.7333333333333343</c:v>
                </c:pt>
                <c:pt idx="9">
                  <c:v>8.9366666666666674</c:v>
                </c:pt>
                <c:pt idx="10">
                  <c:v>8.9666666666666668</c:v>
                </c:pt>
                <c:pt idx="11">
                  <c:v>8.951666666666668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AC-4B69-B309-ED971E507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476304"/>
        <c:axId val="1523665648"/>
      </c:lineChart>
      <c:catAx>
        <c:axId val="167622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19840"/>
        <c:crosses val="autoZero"/>
        <c:auto val="1"/>
        <c:lblAlgn val="ctr"/>
        <c:lblOffset val="100"/>
        <c:noMultiLvlLbl val="0"/>
      </c:catAx>
      <c:valAx>
        <c:axId val="1676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20800"/>
        <c:crosses val="autoZero"/>
        <c:crossBetween val="between"/>
      </c:valAx>
      <c:valAx>
        <c:axId val="1523665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76304"/>
        <c:crosses val="max"/>
        <c:crossBetween val="between"/>
      </c:valAx>
      <c:catAx>
        <c:axId val="128447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3665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Indian</a:t>
            </a:r>
            <a:r>
              <a:rPr lang="fr-FR" baseline="0"/>
              <a:t> Ocean</a:t>
            </a:r>
            <a:r>
              <a:rPr lang="fr-FR"/>
              <a:t> Customer Support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944691403240477"/>
          <c:y val="2.1997695600796011E-2"/>
          <c:w val="0.69698818675538676"/>
          <c:h val="0.445695918952354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'[1]Summary per Quarter'!$A$28</c:f>
              <c:strCache>
                <c:ptCount val="1"/>
                <c:pt idx="0">
                  <c:v>Total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Quarter'!$J$28:$U$28</c:f>
              <c:numCache>
                <c:formatCode>General</c:formatCode>
                <c:ptCount val="12"/>
                <c:pt idx="0">
                  <c:v>52771</c:v>
                </c:pt>
                <c:pt idx="1">
                  <c:v>59653</c:v>
                </c:pt>
                <c:pt idx="2">
                  <c:v>112424</c:v>
                </c:pt>
                <c:pt idx="3">
                  <c:v>54336</c:v>
                </c:pt>
                <c:pt idx="4">
                  <c:v>64589</c:v>
                </c:pt>
                <c:pt idx="5">
                  <c:v>118925</c:v>
                </c:pt>
                <c:pt idx="6">
                  <c:v>53920</c:v>
                </c:pt>
                <c:pt idx="7">
                  <c:v>56865</c:v>
                </c:pt>
                <c:pt idx="8">
                  <c:v>110785</c:v>
                </c:pt>
                <c:pt idx="9">
                  <c:v>54023</c:v>
                </c:pt>
                <c:pt idx="10">
                  <c:v>50315</c:v>
                </c:pt>
                <c:pt idx="11">
                  <c:v>104338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9-4D91-B2D0-94E0EE8D11BC}"/>
            </c:ext>
          </c:extLst>
        </c:ser>
        <c:ser>
          <c:idx val="1"/>
          <c:order val="1"/>
          <c:tx>
            <c:strRef>
              <c:f>'[1]Summary per Quarter'!$A$29</c:f>
              <c:strCache>
                <c:ptCount val="1"/>
                <c:pt idx="0">
                  <c:v>Proactive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Quarter'!$J$29:$U$29</c:f>
              <c:numCache>
                <c:formatCode>General</c:formatCode>
                <c:ptCount val="12"/>
                <c:pt idx="0">
                  <c:v>33208</c:v>
                </c:pt>
                <c:pt idx="1">
                  <c:v>36586</c:v>
                </c:pt>
                <c:pt idx="2">
                  <c:v>69794</c:v>
                </c:pt>
                <c:pt idx="3">
                  <c:v>31744</c:v>
                </c:pt>
                <c:pt idx="4">
                  <c:v>41270</c:v>
                </c:pt>
                <c:pt idx="5">
                  <c:v>73014</c:v>
                </c:pt>
                <c:pt idx="6">
                  <c:v>32814</c:v>
                </c:pt>
                <c:pt idx="7">
                  <c:v>36417</c:v>
                </c:pt>
                <c:pt idx="8">
                  <c:v>69231</c:v>
                </c:pt>
                <c:pt idx="9">
                  <c:v>33293</c:v>
                </c:pt>
                <c:pt idx="10">
                  <c:v>30564</c:v>
                </c:pt>
                <c:pt idx="11">
                  <c:v>63857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69-4D91-B2D0-94E0EE8D11BC}"/>
            </c:ext>
          </c:extLst>
        </c:ser>
        <c:ser>
          <c:idx val="2"/>
          <c:order val="2"/>
          <c:tx>
            <c:strRef>
              <c:f>'[1]Summary per Quarter'!$A$30</c:f>
              <c:strCache>
                <c:ptCount val="1"/>
                <c:pt idx="0">
                  <c:v>Reactive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Quarter'!$J$30:$U$30</c:f>
              <c:numCache>
                <c:formatCode>General</c:formatCode>
                <c:ptCount val="12"/>
                <c:pt idx="0">
                  <c:v>19563</c:v>
                </c:pt>
                <c:pt idx="1">
                  <c:v>23067</c:v>
                </c:pt>
                <c:pt idx="2">
                  <c:v>42630</c:v>
                </c:pt>
                <c:pt idx="3">
                  <c:v>22592</c:v>
                </c:pt>
                <c:pt idx="4">
                  <c:v>23319</c:v>
                </c:pt>
                <c:pt idx="5">
                  <c:v>45911</c:v>
                </c:pt>
                <c:pt idx="6">
                  <c:v>21104</c:v>
                </c:pt>
                <c:pt idx="7">
                  <c:v>20448</c:v>
                </c:pt>
                <c:pt idx="8">
                  <c:v>41552</c:v>
                </c:pt>
                <c:pt idx="9">
                  <c:v>20194</c:v>
                </c:pt>
                <c:pt idx="10">
                  <c:v>19751</c:v>
                </c:pt>
                <c:pt idx="11">
                  <c:v>39945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69-4D91-B2D0-94E0EE8D1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220800"/>
        <c:axId val="1676219840"/>
      </c:barChart>
      <c:lineChart>
        <c:grouping val="standard"/>
        <c:varyColors val="0"/>
        <c:ser>
          <c:idx val="4"/>
          <c:order val="4"/>
          <c:tx>
            <c:strRef>
              <c:f>'[1]Summary per Quarter'!$A$32</c:f>
              <c:strCache>
                <c:ptCount val="1"/>
                <c:pt idx="0">
                  <c:v>TTR/DMRET - P1/Service Interrompu (&lt;=480 mins)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Quarter'!$J$32:$U$32</c:f>
              <c:numCache>
                <c:formatCode>General</c:formatCode>
                <c:ptCount val="12"/>
                <c:pt idx="0">
                  <c:v>842.63656095091449</c:v>
                </c:pt>
                <c:pt idx="1">
                  <c:v>524.50663029870759</c:v>
                </c:pt>
                <c:pt idx="2">
                  <c:v>683.57159562481104</c:v>
                </c:pt>
                <c:pt idx="3">
                  <c:v>535.19358166399513</c:v>
                </c:pt>
                <c:pt idx="4">
                  <c:v>508.53528914115446</c:v>
                </c:pt>
                <c:pt idx="5">
                  <c:v>521.86443540257483</c:v>
                </c:pt>
                <c:pt idx="6">
                  <c:v>801.75023681483856</c:v>
                </c:pt>
                <c:pt idx="7">
                  <c:v>495.32442602842821</c:v>
                </c:pt>
                <c:pt idx="8">
                  <c:v>648.53733142163333</c:v>
                </c:pt>
                <c:pt idx="9">
                  <c:v>475.65235690222227</c:v>
                </c:pt>
                <c:pt idx="10">
                  <c:v>333.55555555555554</c:v>
                </c:pt>
                <c:pt idx="11">
                  <c:v>404.60395622888893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69-4D91-B2D0-94E0EE8D11BC}"/>
            </c:ext>
          </c:extLst>
        </c:ser>
        <c:ser>
          <c:idx val="8"/>
          <c:order val="8"/>
          <c:tx>
            <c:strRef>
              <c:f>'[1]Summary per Quarter'!$A$36</c:f>
              <c:strCache>
                <c:ptCount val="1"/>
                <c:pt idx="0">
                  <c:v>m-NPS (&gt;=8.1)- All IOCS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Quarter'!$J$36:$U$36</c:f>
              <c:numCache>
                <c:formatCode>General</c:formatCode>
                <c:ptCount val="12"/>
                <c:pt idx="0">
                  <c:v>7.8593074674783834</c:v>
                </c:pt>
                <c:pt idx="1">
                  <c:v>7.5550597665504498</c:v>
                </c:pt>
                <c:pt idx="2">
                  <c:v>7.707183617014417</c:v>
                </c:pt>
                <c:pt idx="3">
                  <c:v>7.6333333333333329</c:v>
                </c:pt>
                <c:pt idx="4">
                  <c:v>7.5433333333333339</c:v>
                </c:pt>
                <c:pt idx="5">
                  <c:v>7.5883333333333329</c:v>
                </c:pt>
                <c:pt idx="6">
                  <c:v>7.78</c:v>
                </c:pt>
                <c:pt idx="7">
                  <c:v>7.9291666666666671</c:v>
                </c:pt>
                <c:pt idx="8">
                  <c:v>7.8545833333333341</c:v>
                </c:pt>
                <c:pt idx="9">
                  <c:v>7.7149999999999999</c:v>
                </c:pt>
                <c:pt idx="10">
                  <c:v>8.3450000000000006</c:v>
                </c:pt>
                <c:pt idx="11">
                  <c:v>8.0300000000000011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69-4D91-B2D0-94E0EE8D1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220800"/>
        <c:axId val="1676219840"/>
      </c:lineChart>
      <c:lineChart>
        <c:grouping val="standard"/>
        <c:varyColors val="0"/>
        <c:ser>
          <c:idx val="3"/>
          <c:order val="3"/>
          <c:tx>
            <c:strRef>
              <c:f>'[1]Summary per Quarter'!$A$31</c:f>
              <c:strCache>
                <c:ptCount val="1"/>
                <c:pt idx="0">
                  <c:v>SLA compliance (&gt;=86%)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Quarter'!$J$31:$U$31</c:f>
              <c:numCache>
                <c:formatCode>General</c:formatCode>
                <c:ptCount val="12"/>
                <c:pt idx="0">
                  <c:v>0.87700000000000011</c:v>
                </c:pt>
                <c:pt idx="1">
                  <c:v>0.87700000000000011</c:v>
                </c:pt>
                <c:pt idx="2">
                  <c:v>0.87700000000000011</c:v>
                </c:pt>
                <c:pt idx="3">
                  <c:v>0.8687156119343723</c:v>
                </c:pt>
                <c:pt idx="4">
                  <c:v>0.85140438504748228</c:v>
                </c:pt>
                <c:pt idx="5">
                  <c:v>0.86005999849092729</c:v>
                </c:pt>
                <c:pt idx="6">
                  <c:v>0.84560113142867432</c:v>
                </c:pt>
                <c:pt idx="7">
                  <c:v>0.8855554948259684</c:v>
                </c:pt>
                <c:pt idx="8">
                  <c:v>0.86557831312732136</c:v>
                </c:pt>
                <c:pt idx="9">
                  <c:v>0.82229999999999992</c:v>
                </c:pt>
                <c:pt idx="10">
                  <c:v>0.90243333333333331</c:v>
                </c:pt>
                <c:pt idx="11">
                  <c:v>0.86236666666666661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69-4D91-B2D0-94E0EE8D11BC}"/>
            </c:ext>
          </c:extLst>
        </c:ser>
        <c:ser>
          <c:idx val="5"/>
          <c:order val="5"/>
          <c:tx>
            <c:strRef>
              <c:f>'[1]Summary per Quarter'!$A$33</c:f>
              <c:strCache>
                <c:ptCount val="1"/>
                <c:pt idx="0">
                  <c:v>Autonomy (&gt;=80%)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Quarter'!$J$33:$U$33</c:f>
              <c:numCache>
                <c:formatCode>General</c:formatCode>
                <c:ptCount val="12"/>
                <c:pt idx="0">
                  <c:v>0.7858064089110548</c:v>
                </c:pt>
                <c:pt idx="1">
                  <c:v>0.81967761454109489</c:v>
                </c:pt>
                <c:pt idx="2">
                  <c:v>0.80274201172607484</c:v>
                </c:pt>
                <c:pt idx="3">
                  <c:v>0.82499898875048105</c:v>
                </c:pt>
                <c:pt idx="4">
                  <c:v>0.77821334421916821</c:v>
                </c:pt>
                <c:pt idx="5">
                  <c:v>0.80160616648482463</c:v>
                </c:pt>
                <c:pt idx="6">
                  <c:v>0.80579875802283907</c:v>
                </c:pt>
                <c:pt idx="7">
                  <c:v>0.8294666666666668</c:v>
                </c:pt>
                <c:pt idx="8">
                  <c:v>0.81763271234475288</c:v>
                </c:pt>
                <c:pt idx="9">
                  <c:v>0.82105555555555554</c:v>
                </c:pt>
                <c:pt idx="10">
                  <c:v>0.77404166666666663</c:v>
                </c:pt>
                <c:pt idx="11">
                  <c:v>0.79754861111111108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69-4D91-B2D0-94E0EE8D11BC}"/>
            </c:ext>
          </c:extLst>
        </c:ser>
        <c:ser>
          <c:idx val="6"/>
          <c:order val="6"/>
          <c:tx>
            <c:strRef>
              <c:f>'[1]Summary per Quarter'!$A$34</c:f>
              <c:strCache>
                <c:ptCount val="1"/>
                <c:pt idx="0">
                  <c:v>Digital Usage - Reactive (&gt;=65%)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Quarter'!$J$34:$U$34</c:f>
              <c:numCache>
                <c:formatCode>General</c:formatCode>
                <c:ptCount val="12"/>
                <c:pt idx="0">
                  <c:v>0.61690180014873808</c:v>
                </c:pt>
                <c:pt idx="1">
                  <c:v>0.66455413414168263</c:v>
                </c:pt>
                <c:pt idx="2">
                  <c:v>0.64072796714521041</c:v>
                </c:pt>
                <c:pt idx="3">
                  <c:v>0.5941833333333334</c:v>
                </c:pt>
                <c:pt idx="4">
                  <c:v>0.62634999999999996</c:v>
                </c:pt>
                <c:pt idx="5">
                  <c:v>0.61026666666666673</c:v>
                </c:pt>
                <c:pt idx="6">
                  <c:v>0.60665067368694225</c:v>
                </c:pt>
                <c:pt idx="7">
                  <c:v>0.58656358167912692</c:v>
                </c:pt>
                <c:pt idx="8">
                  <c:v>0.59660712768303459</c:v>
                </c:pt>
                <c:pt idx="9">
                  <c:v>0.55154026312361593</c:v>
                </c:pt>
                <c:pt idx="10">
                  <c:v>0.5188297838481214</c:v>
                </c:pt>
                <c:pt idx="11">
                  <c:v>0.53518502348586861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69-4D91-B2D0-94E0EE8D11BC}"/>
            </c:ext>
          </c:extLst>
        </c:ser>
        <c:ser>
          <c:idx val="7"/>
          <c:order val="7"/>
          <c:tx>
            <c:strRef>
              <c:f>'[1]Summary per Quarter'!$A$35</c:f>
              <c:strCache>
                <c:ptCount val="1"/>
                <c:pt idx="0">
                  <c:v>Zero Touch - Proactive (&gt;=32%)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Quarter'!$J$35:$U$35</c:f>
              <c:numCache>
                <c:formatCode>General</c:formatCode>
                <c:ptCount val="12"/>
                <c:pt idx="0">
                  <c:v>0.31485300358198159</c:v>
                </c:pt>
                <c:pt idx="1">
                  <c:v>0.3062261303507039</c:v>
                </c:pt>
                <c:pt idx="2">
                  <c:v>0.31053956696634277</c:v>
                </c:pt>
                <c:pt idx="3">
                  <c:v>0.32</c:v>
                </c:pt>
                <c:pt idx="4">
                  <c:v>0.29333333333333333</c:v>
                </c:pt>
                <c:pt idx="5">
                  <c:v>0.30666666666666664</c:v>
                </c:pt>
                <c:pt idx="6">
                  <c:v>0.3066666666666667</c:v>
                </c:pt>
                <c:pt idx="7">
                  <c:v>0.31081588335659993</c:v>
                </c:pt>
                <c:pt idx="8">
                  <c:v>0.30874127501163329</c:v>
                </c:pt>
                <c:pt idx="9">
                  <c:v>0.29553779760741611</c:v>
                </c:pt>
                <c:pt idx="10">
                  <c:v>0.3048349317389174</c:v>
                </c:pt>
                <c:pt idx="11">
                  <c:v>0.30018636467316673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69-4D91-B2D0-94E0EE8D1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476304"/>
        <c:axId val="1523665648"/>
      </c:lineChart>
      <c:catAx>
        <c:axId val="167622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19840"/>
        <c:crosses val="autoZero"/>
        <c:auto val="1"/>
        <c:lblAlgn val="ctr"/>
        <c:lblOffset val="100"/>
        <c:noMultiLvlLbl val="0"/>
      </c:catAx>
      <c:valAx>
        <c:axId val="1676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20800"/>
        <c:crosses val="autoZero"/>
        <c:crossBetween val="between"/>
      </c:valAx>
      <c:valAx>
        <c:axId val="1523665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76304"/>
        <c:crosses val="max"/>
        <c:crossBetween val="between"/>
      </c:valAx>
      <c:catAx>
        <c:axId val="128447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3665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India</a:t>
            </a:r>
            <a:r>
              <a:rPr lang="fr-FR" baseline="0"/>
              <a:t> </a:t>
            </a:r>
            <a:r>
              <a:rPr lang="fr-FR"/>
              <a:t>Customer Support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'[1]Summary per Quarter'!$A$41</c:f>
              <c:strCache>
                <c:ptCount val="1"/>
                <c:pt idx="0">
                  <c:v>Total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Quarter'!$J$41:$U$41</c:f>
              <c:numCache>
                <c:formatCode>General</c:formatCode>
                <c:ptCount val="12"/>
                <c:pt idx="0">
                  <c:v>68773</c:v>
                </c:pt>
                <c:pt idx="1">
                  <c:v>59327</c:v>
                </c:pt>
                <c:pt idx="2">
                  <c:v>128100</c:v>
                </c:pt>
                <c:pt idx="3">
                  <c:v>54462</c:v>
                </c:pt>
                <c:pt idx="4">
                  <c:v>55652</c:v>
                </c:pt>
                <c:pt idx="5">
                  <c:v>110114</c:v>
                </c:pt>
                <c:pt idx="6">
                  <c:v>51074</c:v>
                </c:pt>
                <c:pt idx="7">
                  <c:v>63650</c:v>
                </c:pt>
                <c:pt idx="8">
                  <c:v>114724</c:v>
                </c:pt>
                <c:pt idx="9">
                  <c:v>69749</c:v>
                </c:pt>
                <c:pt idx="10">
                  <c:v>61794</c:v>
                </c:pt>
                <c:pt idx="11">
                  <c:v>131543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B-4200-9925-B2858C5BD700}"/>
            </c:ext>
          </c:extLst>
        </c:ser>
        <c:ser>
          <c:idx val="1"/>
          <c:order val="1"/>
          <c:tx>
            <c:strRef>
              <c:f>'[1]Summary per Quarter'!$A$42</c:f>
              <c:strCache>
                <c:ptCount val="1"/>
                <c:pt idx="0">
                  <c:v>Proactive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Quarter'!$J$42:$U$42</c:f>
              <c:numCache>
                <c:formatCode>General</c:formatCode>
                <c:ptCount val="12"/>
                <c:pt idx="0">
                  <c:v>54300</c:v>
                </c:pt>
                <c:pt idx="1">
                  <c:v>46842</c:v>
                </c:pt>
                <c:pt idx="2">
                  <c:v>101142</c:v>
                </c:pt>
                <c:pt idx="3">
                  <c:v>37798</c:v>
                </c:pt>
                <c:pt idx="4">
                  <c:v>45587</c:v>
                </c:pt>
                <c:pt idx="5">
                  <c:v>83385</c:v>
                </c:pt>
                <c:pt idx="6">
                  <c:v>43484</c:v>
                </c:pt>
                <c:pt idx="7">
                  <c:v>51920</c:v>
                </c:pt>
                <c:pt idx="8">
                  <c:v>95404</c:v>
                </c:pt>
                <c:pt idx="9">
                  <c:v>56934</c:v>
                </c:pt>
                <c:pt idx="10">
                  <c:v>46436</c:v>
                </c:pt>
                <c:pt idx="11">
                  <c:v>103370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B-4200-9925-B2858C5BD700}"/>
            </c:ext>
          </c:extLst>
        </c:ser>
        <c:ser>
          <c:idx val="2"/>
          <c:order val="2"/>
          <c:tx>
            <c:strRef>
              <c:f>'[1]Summary per Quarter'!$A$43</c:f>
              <c:strCache>
                <c:ptCount val="1"/>
                <c:pt idx="0">
                  <c:v>Reactive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Quarter'!$J$43:$U$43</c:f>
              <c:numCache>
                <c:formatCode>General</c:formatCode>
                <c:ptCount val="12"/>
                <c:pt idx="0">
                  <c:v>14473</c:v>
                </c:pt>
                <c:pt idx="1">
                  <c:v>12485</c:v>
                </c:pt>
                <c:pt idx="2">
                  <c:v>26958</c:v>
                </c:pt>
                <c:pt idx="3">
                  <c:v>15115</c:v>
                </c:pt>
                <c:pt idx="4">
                  <c:v>10308</c:v>
                </c:pt>
                <c:pt idx="5">
                  <c:v>25423</c:v>
                </c:pt>
                <c:pt idx="6">
                  <c:v>7749</c:v>
                </c:pt>
                <c:pt idx="7">
                  <c:v>9466</c:v>
                </c:pt>
                <c:pt idx="8">
                  <c:v>17215</c:v>
                </c:pt>
                <c:pt idx="9">
                  <c:v>13937</c:v>
                </c:pt>
                <c:pt idx="10">
                  <c:v>14341</c:v>
                </c:pt>
                <c:pt idx="11">
                  <c:v>28278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9B-4200-9925-B2858C5B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220800"/>
        <c:axId val="1676219840"/>
      </c:barChart>
      <c:lineChart>
        <c:grouping val="standard"/>
        <c:varyColors val="0"/>
        <c:ser>
          <c:idx val="4"/>
          <c:order val="4"/>
          <c:tx>
            <c:strRef>
              <c:f>'[1]Summary per Quarter'!$A$45</c:f>
              <c:strCache>
                <c:ptCount val="1"/>
                <c:pt idx="0">
                  <c:v>TTR/DMRET - P1/Service Interrompu (&lt;=240 mins)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Quarter'!$J$45:$U$45</c:f>
              <c:numCache>
                <c:formatCode>General</c:formatCode>
                <c:ptCount val="12"/>
                <c:pt idx="0">
                  <c:v>506.65166666666664</c:v>
                </c:pt>
                <c:pt idx="1">
                  <c:v>521.51833333333332</c:v>
                </c:pt>
                <c:pt idx="2">
                  <c:v>514.08500000000004</c:v>
                </c:pt>
                <c:pt idx="3">
                  <c:v>164.32666666666668</c:v>
                </c:pt>
                <c:pt idx="4">
                  <c:v>249.60333333333335</c:v>
                </c:pt>
                <c:pt idx="5">
                  <c:v>206.96500000000003</c:v>
                </c:pt>
                <c:pt idx="6">
                  <c:v>143.41428571428571</c:v>
                </c:pt>
                <c:pt idx="7">
                  <c:v>210.5</c:v>
                </c:pt>
                <c:pt idx="8">
                  <c:v>176.95714285714286</c:v>
                </c:pt>
                <c:pt idx="9">
                  <c:v>217.5</c:v>
                </c:pt>
                <c:pt idx="10">
                  <c:v>172.16666666666666</c:v>
                </c:pt>
                <c:pt idx="11">
                  <c:v>194.83333333333331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9B-4200-9925-B2858C5B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220800"/>
        <c:axId val="1676219840"/>
      </c:lineChart>
      <c:lineChart>
        <c:grouping val="standard"/>
        <c:varyColors val="0"/>
        <c:ser>
          <c:idx val="3"/>
          <c:order val="3"/>
          <c:tx>
            <c:strRef>
              <c:f>'[1]Summary per Quarter'!$A$44</c:f>
              <c:strCache>
                <c:ptCount val="1"/>
                <c:pt idx="0">
                  <c:v>SLA compliance (&gt;=90%)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Quarter'!$J$44:$U$44</c:f>
              <c:numCache>
                <c:formatCode>General</c:formatCode>
                <c:ptCount val="12"/>
                <c:pt idx="0">
                  <c:v>0.88666666666666671</c:v>
                </c:pt>
                <c:pt idx="1">
                  <c:v>0.89366666666666672</c:v>
                </c:pt>
                <c:pt idx="2">
                  <c:v>0.89016666666666677</c:v>
                </c:pt>
                <c:pt idx="3">
                  <c:v>0.91021666666666656</c:v>
                </c:pt>
                <c:pt idx="4">
                  <c:v>0.90248333333333319</c:v>
                </c:pt>
                <c:pt idx="5">
                  <c:v>0.90634999999999988</c:v>
                </c:pt>
                <c:pt idx="6">
                  <c:v>0.90021954022988504</c:v>
                </c:pt>
                <c:pt idx="7">
                  <c:v>0.84768333333333334</c:v>
                </c:pt>
                <c:pt idx="8">
                  <c:v>0.87395143678160925</c:v>
                </c:pt>
                <c:pt idx="9">
                  <c:v>0.91600000000000004</c:v>
                </c:pt>
                <c:pt idx="10">
                  <c:v>0.89290000000000003</c:v>
                </c:pt>
                <c:pt idx="11">
                  <c:v>0.90444999999999998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9B-4200-9925-B2858C5BD700}"/>
            </c:ext>
          </c:extLst>
        </c:ser>
        <c:ser>
          <c:idx val="5"/>
          <c:order val="5"/>
          <c:tx>
            <c:strRef>
              <c:f>'[1]Summary per Quarter'!$A$46</c:f>
              <c:strCache>
                <c:ptCount val="1"/>
                <c:pt idx="0">
                  <c:v>Autonomy (&gt;=55%)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Quarter'!$J$46:$U$46</c:f>
              <c:numCache>
                <c:formatCode>General</c:formatCode>
                <c:ptCount val="12"/>
                <c:pt idx="0">
                  <c:v>0.47431666666666666</c:v>
                </c:pt>
                <c:pt idx="1">
                  <c:v>0.47065000000000001</c:v>
                </c:pt>
                <c:pt idx="2">
                  <c:v>0.47248333333333337</c:v>
                </c:pt>
                <c:pt idx="3">
                  <c:v>0.38836666666666669</c:v>
                </c:pt>
                <c:pt idx="4">
                  <c:v>0.46788333333333326</c:v>
                </c:pt>
                <c:pt idx="5">
                  <c:v>0.42812499999999998</c:v>
                </c:pt>
                <c:pt idx="6">
                  <c:v>0.52929685362517098</c:v>
                </c:pt>
                <c:pt idx="7">
                  <c:v>0.56999999999999995</c:v>
                </c:pt>
                <c:pt idx="8">
                  <c:v>0.54964842681258541</c:v>
                </c:pt>
                <c:pt idx="9">
                  <c:v>0.57999999999999996</c:v>
                </c:pt>
                <c:pt idx="10">
                  <c:v>0.56666666666666665</c:v>
                </c:pt>
                <c:pt idx="11">
                  <c:v>0.57333333333333325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9B-4200-9925-B2858C5BD700}"/>
            </c:ext>
          </c:extLst>
        </c:ser>
        <c:ser>
          <c:idx val="6"/>
          <c:order val="6"/>
          <c:tx>
            <c:strRef>
              <c:f>'[1]Summary per Quarter'!$A$47</c:f>
              <c:strCache>
                <c:ptCount val="1"/>
                <c:pt idx="0">
                  <c:v>Digital Usage - Reactive (&gt;=50%)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Quarter'!$J$47:$U$47</c:f>
              <c:numCache>
                <c:formatCode>General</c:formatCode>
                <c:ptCount val="12"/>
                <c:pt idx="0">
                  <c:v>0.59050000000000002</c:v>
                </c:pt>
                <c:pt idx="1">
                  <c:v>0.56483333333333341</c:v>
                </c:pt>
                <c:pt idx="2">
                  <c:v>0.57766666666666677</c:v>
                </c:pt>
                <c:pt idx="3">
                  <c:v>0.55274999999999996</c:v>
                </c:pt>
                <c:pt idx="4">
                  <c:v>0.30133333333333334</c:v>
                </c:pt>
                <c:pt idx="5">
                  <c:v>0.42704166666666665</c:v>
                </c:pt>
                <c:pt idx="6">
                  <c:v>0.30660833333333332</c:v>
                </c:pt>
                <c:pt idx="7">
                  <c:v>0.35446666666666665</c:v>
                </c:pt>
                <c:pt idx="8">
                  <c:v>0.33053749999999998</c:v>
                </c:pt>
                <c:pt idx="9">
                  <c:v>0.69333333333333336</c:v>
                </c:pt>
                <c:pt idx="10">
                  <c:v>0.72000000000000008</c:v>
                </c:pt>
                <c:pt idx="11">
                  <c:v>0.70666666666666678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9B-4200-9925-B2858C5BD700}"/>
            </c:ext>
          </c:extLst>
        </c:ser>
        <c:ser>
          <c:idx val="7"/>
          <c:order val="7"/>
          <c:tx>
            <c:strRef>
              <c:f>'[1]Summary per Quarter'!$A$48</c:f>
              <c:strCache>
                <c:ptCount val="1"/>
                <c:pt idx="0">
                  <c:v>Zero Touch - Proactive (&gt;=10%)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Quarter'!$J$48:$U$48</c:f>
              <c:numCache>
                <c:formatCode>General</c:formatCode>
                <c:ptCount val="12"/>
                <c:pt idx="0">
                  <c:v>0.16333333333333333</c:v>
                </c:pt>
                <c:pt idx="1">
                  <c:v>0.25666666666666665</c:v>
                </c:pt>
                <c:pt idx="2">
                  <c:v>0.21</c:v>
                </c:pt>
                <c:pt idx="3">
                  <c:v>9.1700000000000004E-2</c:v>
                </c:pt>
                <c:pt idx="4">
                  <c:v>6.9966666666666663E-2</c:v>
                </c:pt>
                <c:pt idx="5">
                  <c:v>8.083333333333334E-2</c:v>
                </c:pt>
                <c:pt idx="6">
                  <c:v>5.4368857985672148E-2</c:v>
                </c:pt>
                <c:pt idx="7">
                  <c:v>6.6666666666666666E-2</c:v>
                </c:pt>
                <c:pt idx="8">
                  <c:v>6.0517762326169407E-2</c:v>
                </c:pt>
                <c:pt idx="9">
                  <c:v>6.6666666666666666E-2</c:v>
                </c:pt>
                <c:pt idx="10">
                  <c:v>0.03</c:v>
                </c:pt>
                <c:pt idx="11">
                  <c:v>4.8333333333333332E-2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9B-4200-9925-B2858C5BD700}"/>
            </c:ext>
          </c:extLst>
        </c:ser>
        <c:ser>
          <c:idx val="8"/>
          <c:order val="8"/>
          <c:tx>
            <c:strRef>
              <c:f>'[1]Summary per Quarter'!$A$49</c:f>
              <c:strCache>
                <c:ptCount val="1"/>
                <c:pt idx="0">
                  <c:v>m-NPS (&gt;=8.1)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Quarter'!$J$49:$U$49</c:f>
              <c:numCache>
                <c:formatCode>General</c:formatCode>
                <c:ptCount val="12"/>
                <c:pt idx="2">
                  <c:v>7.9</c:v>
                </c:pt>
                <c:pt idx="5">
                  <c:v>8.1999999999999993</c:v>
                </c:pt>
                <c:pt idx="8">
                  <c:v>8.6</c:v>
                </c:pt>
                <c:pt idx="11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9B-4200-9925-B2858C5B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476304"/>
        <c:axId val="1523665648"/>
      </c:lineChart>
      <c:catAx>
        <c:axId val="167622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19840"/>
        <c:crosses val="autoZero"/>
        <c:auto val="1"/>
        <c:lblAlgn val="ctr"/>
        <c:lblOffset val="100"/>
        <c:noMultiLvlLbl val="0"/>
      </c:catAx>
      <c:valAx>
        <c:axId val="1676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20800"/>
        <c:crosses val="autoZero"/>
        <c:crossBetween val="between"/>
      </c:valAx>
      <c:valAx>
        <c:axId val="1523665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76304"/>
        <c:crosses val="max"/>
        <c:crossBetween val="between"/>
      </c:valAx>
      <c:catAx>
        <c:axId val="128447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3665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Egypt</a:t>
            </a:r>
            <a:r>
              <a:rPr lang="fr-FR" baseline="0"/>
              <a:t> </a:t>
            </a:r>
            <a:r>
              <a:rPr lang="fr-FR"/>
              <a:t>Customer Support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'[1]Summary per Quarter'!$A$52</c:f>
              <c:strCache>
                <c:ptCount val="1"/>
                <c:pt idx="0">
                  <c:v>Total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Quarter'!$J$52:$U$52</c:f>
              <c:numCache>
                <c:formatCode>General</c:formatCode>
                <c:ptCount val="12"/>
                <c:pt idx="0">
                  <c:v>87402</c:v>
                </c:pt>
                <c:pt idx="1">
                  <c:v>96438</c:v>
                </c:pt>
                <c:pt idx="2">
                  <c:v>183840</c:v>
                </c:pt>
                <c:pt idx="3">
                  <c:v>87113</c:v>
                </c:pt>
                <c:pt idx="4">
                  <c:v>84082</c:v>
                </c:pt>
                <c:pt idx="5">
                  <c:v>171195</c:v>
                </c:pt>
                <c:pt idx="6">
                  <c:v>84897</c:v>
                </c:pt>
                <c:pt idx="7">
                  <c:v>82822</c:v>
                </c:pt>
                <c:pt idx="8">
                  <c:v>167719</c:v>
                </c:pt>
                <c:pt idx="9">
                  <c:v>76833</c:v>
                </c:pt>
                <c:pt idx="10">
                  <c:v>88798</c:v>
                </c:pt>
                <c:pt idx="11">
                  <c:v>165631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8-49A2-9032-341C70F185D7}"/>
            </c:ext>
          </c:extLst>
        </c:ser>
        <c:ser>
          <c:idx val="1"/>
          <c:order val="1"/>
          <c:tx>
            <c:strRef>
              <c:f>'[1]Summary per Quarter'!$A$53</c:f>
              <c:strCache>
                <c:ptCount val="1"/>
                <c:pt idx="0">
                  <c:v>Proactive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Quarter'!$J$53:$U$53</c:f>
              <c:numCache>
                <c:formatCode>General</c:formatCode>
                <c:ptCount val="12"/>
                <c:pt idx="0">
                  <c:v>73224</c:v>
                </c:pt>
                <c:pt idx="1">
                  <c:v>78898</c:v>
                </c:pt>
                <c:pt idx="2">
                  <c:v>152122</c:v>
                </c:pt>
                <c:pt idx="3">
                  <c:v>68449</c:v>
                </c:pt>
                <c:pt idx="4">
                  <c:v>63668</c:v>
                </c:pt>
                <c:pt idx="5">
                  <c:v>132117</c:v>
                </c:pt>
                <c:pt idx="6">
                  <c:v>59842</c:v>
                </c:pt>
                <c:pt idx="7">
                  <c:v>60455</c:v>
                </c:pt>
                <c:pt idx="8">
                  <c:v>120297</c:v>
                </c:pt>
                <c:pt idx="9">
                  <c:v>51917</c:v>
                </c:pt>
                <c:pt idx="10">
                  <c:v>64902</c:v>
                </c:pt>
                <c:pt idx="11">
                  <c:v>116819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E8-49A2-9032-341C70F185D7}"/>
            </c:ext>
          </c:extLst>
        </c:ser>
        <c:ser>
          <c:idx val="2"/>
          <c:order val="2"/>
          <c:tx>
            <c:strRef>
              <c:f>'[1]Summary per Quarter'!$A$54</c:f>
              <c:strCache>
                <c:ptCount val="1"/>
                <c:pt idx="0">
                  <c:v>Reactive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Quarter'!$J$54:$U$54</c:f>
              <c:numCache>
                <c:formatCode>General</c:formatCode>
                <c:ptCount val="12"/>
                <c:pt idx="0">
                  <c:v>14178</c:v>
                </c:pt>
                <c:pt idx="1">
                  <c:v>17540</c:v>
                </c:pt>
                <c:pt idx="2">
                  <c:v>31718</c:v>
                </c:pt>
                <c:pt idx="3">
                  <c:v>18664</c:v>
                </c:pt>
                <c:pt idx="4">
                  <c:v>20414</c:v>
                </c:pt>
                <c:pt idx="5">
                  <c:v>39078</c:v>
                </c:pt>
                <c:pt idx="6">
                  <c:v>25055</c:v>
                </c:pt>
                <c:pt idx="7">
                  <c:v>22367</c:v>
                </c:pt>
                <c:pt idx="8">
                  <c:v>47422</c:v>
                </c:pt>
                <c:pt idx="9">
                  <c:v>24916</c:v>
                </c:pt>
                <c:pt idx="10">
                  <c:v>23896</c:v>
                </c:pt>
                <c:pt idx="11">
                  <c:v>48812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E8-49A2-9032-341C70F18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220800"/>
        <c:axId val="1676219840"/>
      </c:barChart>
      <c:lineChart>
        <c:grouping val="standard"/>
        <c:varyColors val="0"/>
        <c:ser>
          <c:idx val="4"/>
          <c:order val="4"/>
          <c:tx>
            <c:strRef>
              <c:f>'[1]Summary per Quarter'!$A$56</c:f>
              <c:strCache>
                <c:ptCount val="1"/>
                <c:pt idx="0">
                  <c:v>TTR/DMRET - P1/Service Interrompu (&lt;=240 mins)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Quarter'!$J$56:$U$56</c:f>
              <c:numCache>
                <c:formatCode>General</c:formatCode>
                <c:ptCount val="12"/>
                <c:pt idx="0">
                  <c:v>418</c:v>
                </c:pt>
                <c:pt idx="1">
                  <c:v>244</c:v>
                </c:pt>
                <c:pt idx="2">
                  <c:v>331</c:v>
                </c:pt>
                <c:pt idx="3">
                  <c:v>223.66666666666666</c:v>
                </c:pt>
                <c:pt idx="4">
                  <c:v>210.66666666666666</c:v>
                </c:pt>
                <c:pt idx="5">
                  <c:v>217.16666666666666</c:v>
                </c:pt>
                <c:pt idx="6">
                  <c:v>178.33333333333334</c:v>
                </c:pt>
                <c:pt idx="7">
                  <c:v>188</c:v>
                </c:pt>
                <c:pt idx="8">
                  <c:v>183.16666666666669</c:v>
                </c:pt>
                <c:pt idx="9">
                  <c:v>164.66666666666666</c:v>
                </c:pt>
                <c:pt idx="10">
                  <c:v>105.66666666666667</c:v>
                </c:pt>
                <c:pt idx="11">
                  <c:v>135.16666666666666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E8-49A2-9032-341C70F185D7}"/>
            </c:ext>
          </c:extLst>
        </c:ser>
        <c:ser>
          <c:idx val="8"/>
          <c:order val="8"/>
          <c:tx>
            <c:strRef>
              <c:f>'[1]Summary per Quarter'!$A$60</c:f>
              <c:strCache>
                <c:ptCount val="1"/>
                <c:pt idx="0">
                  <c:v>m-NPS (&gt;=8.1)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Quarter'!$J$60:$U$60</c:f>
              <c:numCache>
                <c:formatCode>General</c:formatCode>
                <c:ptCount val="12"/>
                <c:pt idx="2">
                  <c:v>8</c:v>
                </c:pt>
                <c:pt idx="5">
                  <c:v>8.3000000000000007</c:v>
                </c:pt>
                <c:pt idx="8">
                  <c:v>8.5</c:v>
                </c:pt>
                <c:pt idx="11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E8-49A2-9032-341C70F18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220800"/>
        <c:axId val="1676219840"/>
      </c:lineChart>
      <c:lineChart>
        <c:grouping val="standard"/>
        <c:varyColors val="0"/>
        <c:ser>
          <c:idx val="3"/>
          <c:order val="3"/>
          <c:tx>
            <c:strRef>
              <c:f>'[1]Summary per Quarter'!$A$55</c:f>
              <c:strCache>
                <c:ptCount val="1"/>
                <c:pt idx="0">
                  <c:v>SLA compliance (&gt;=87%)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Quarter'!$J$55:$U$55</c:f>
              <c:numCache>
                <c:formatCode>General</c:formatCode>
                <c:ptCount val="12"/>
                <c:pt idx="0">
                  <c:v>0.87</c:v>
                </c:pt>
                <c:pt idx="1">
                  <c:v>0.86333333333333329</c:v>
                </c:pt>
                <c:pt idx="2">
                  <c:v>0.8666666666666667</c:v>
                </c:pt>
                <c:pt idx="3">
                  <c:v>0.86</c:v>
                </c:pt>
                <c:pt idx="4">
                  <c:v>0.88666666666666671</c:v>
                </c:pt>
                <c:pt idx="5">
                  <c:v>0.87333333333333329</c:v>
                </c:pt>
                <c:pt idx="6">
                  <c:v>0.8833333333333333</c:v>
                </c:pt>
                <c:pt idx="7">
                  <c:v>0.90666666666666662</c:v>
                </c:pt>
                <c:pt idx="8">
                  <c:v>0.89500000000000002</c:v>
                </c:pt>
                <c:pt idx="9">
                  <c:v>0.93333333333333324</c:v>
                </c:pt>
                <c:pt idx="10">
                  <c:v>0.8666666666666667</c:v>
                </c:pt>
                <c:pt idx="11">
                  <c:v>0.89999999999999991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E8-49A2-9032-341C70F185D7}"/>
            </c:ext>
          </c:extLst>
        </c:ser>
        <c:ser>
          <c:idx val="5"/>
          <c:order val="5"/>
          <c:tx>
            <c:strRef>
              <c:f>'[1]Summary per Quarter'!$A$57</c:f>
              <c:strCache>
                <c:ptCount val="1"/>
                <c:pt idx="0">
                  <c:v>Autonomy (&gt;=60%)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Quarter'!$J$57:$U$57</c:f>
              <c:numCache>
                <c:formatCode>General</c:formatCode>
                <c:ptCount val="12"/>
                <c:pt idx="0">
                  <c:v>0.54333333333333333</c:v>
                </c:pt>
                <c:pt idx="1">
                  <c:v>0.54666666666666663</c:v>
                </c:pt>
                <c:pt idx="2">
                  <c:v>0.54499999999999993</c:v>
                </c:pt>
                <c:pt idx="3">
                  <c:v>0.55666666666666675</c:v>
                </c:pt>
                <c:pt idx="4">
                  <c:v>0.55666666666666664</c:v>
                </c:pt>
                <c:pt idx="5">
                  <c:v>0.55666666666666664</c:v>
                </c:pt>
                <c:pt idx="6">
                  <c:v>0.57999999999999996</c:v>
                </c:pt>
                <c:pt idx="7">
                  <c:v>0.6333333333333333</c:v>
                </c:pt>
                <c:pt idx="8">
                  <c:v>0.60666666666666669</c:v>
                </c:pt>
                <c:pt idx="9">
                  <c:v>0.63666666666666671</c:v>
                </c:pt>
                <c:pt idx="10">
                  <c:v>0.66333333333333344</c:v>
                </c:pt>
                <c:pt idx="11">
                  <c:v>0.65000000000000013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E8-49A2-9032-341C70F185D7}"/>
            </c:ext>
          </c:extLst>
        </c:ser>
        <c:ser>
          <c:idx val="6"/>
          <c:order val="6"/>
          <c:tx>
            <c:strRef>
              <c:f>'[1]Summary per Quarter'!$A$58</c:f>
              <c:strCache>
                <c:ptCount val="1"/>
                <c:pt idx="0">
                  <c:v>Digital Usage - Reactive (&gt;=70%)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Quarter'!$J$58:$U$58</c:f>
              <c:numCache>
                <c:formatCode>General</c:formatCode>
                <c:ptCount val="12"/>
                <c:pt idx="0">
                  <c:v>0.60333333333333339</c:v>
                </c:pt>
                <c:pt idx="1">
                  <c:v>0.66666666666666663</c:v>
                </c:pt>
                <c:pt idx="2">
                  <c:v>0.63500000000000001</c:v>
                </c:pt>
                <c:pt idx="3">
                  <c:v>0.67333333333333334</c:v>
                </c:pt>
                <c:pt idx="4">
                  <c:v>0.69666666666666666</c:v>
                </c:pt>
                <c:pt idx="5">
                  <c:v>0.68500000000000005</c:v>
                </c:pt>
                <c:pt idx="6">
                  <c:v>0.73683333333333323</c:v>
                </c:pt>
                <c:pt idx="7">
                  <c:v>0.72000000000000008</c:v>
                </c:pt>
                <c:pt idx="8">
                  <c:v>0.72841666666666671</c:v>
                </c:pt>
                <c:pt idx="9">
                  <c:v>0.69</c:v>
                </c:pt>
                <c:pt idx="10">
                  <c:v>0.67333333333333334</c:v>
                </c:pt>
                <c:pt idx="11">
                  <c:v>0.68166666666666664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E8-49A2-9032-341C70F185D7}"/>
            </c:ext>
          </c:extLst>
        </c:ser>
        <c:ser>
          <c:idx val="7"/>
          <c:order val="7"/>
          <c:tx>
            <c:strRef>
              <c:f>'[1]Summary per Quarter'!$A$59</c:f>
              <c:strCache>
                <c:ptCount val="1"/>
                <c:pt idx="0">
                  <c:v>Zero Touch - Proactive (&gt;=10%)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Quarter'!$J$59:$U$59</c:f>
              <c:numCache>
                <c:formatCode>General</c:formatCode>
                <c:ptCount val="12"/>
                <c:pt idx="0">
                  <c:v>6.6666666666666666E-2</c:v>
                </c:pt>
                <c:pt idx="1">
                  <c:v>0.08</c:v>
                </c:pt>
                <c:pt idx="2">
                  <c:v>7.3333333333333334E-2</c:v>
                </c:pt>
                <c:pt idx="3">
                  <c:v>6.3333333333333339E-2</c:v>
                </c:pt>
                <c:pt idx="4">
                  <c:v>6.3333333333333339E-2</c:v>
                </c:pt>
                <c:pt idx="5">
                  <c:v>6.3333333333333339E-2</c:v>
                </c:pt>
                <c:pt idx="6">
                  <c:v>7.8466666666666671E-2</c:v>
                </c:pt>
                <c:pt idx="7">
                  <c:v>0.10333333333333333</c:v>
                </c:pt>
                <c:pt idx="8">
                  <c:v>9.0900000000000009E-2</c:v>
                </c:pt>
                <c:pt idx="9">
                  <c:v>0.11333333333333333</c:v>
                </c:pt>
                <c:pt idx="10">
                  <c:v>7.6666666666666675E-2</c:v>
                </c:pt>
                <c:pt idx="11">
                  <c:v>9.5000000000000001E-2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E8-49A2-9032-341C70F18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476304"/>
        <c:axId val="1523665648"/>
      </c:lineChart>
      <c:catAx>
        <c:axId val="167622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19840"/>
        <c:crosses val="autoZero"/>
        <c:auto val="1"/>
        <c:lblAlgn val="ctr"/>
        <c:lblOffset val="100"/>
        <c:noMultiLvlLbl val="0"/>
      </c:catAx>
      <c:valAx>
        <c:axId val="1676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20800"/>
        <c:crosses val="autoZero"/>
        <c:crossBetween val="between"/>
      </c:valAx>
      <c:valAx>
        <c:axId val="1523665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76304"/>
        <c:crosses val="max"/>
        <c:crossBetween val="between"/>
      </c:valAx>
      <c:catAx>
        <c:axId val="128447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3665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Brazil Customer Support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'[1]Summary per Quarter'!$A$63</c:f>
              <c:strCache>
                <c:ptCount val="1"/>
                <c:pt idx="0">
                  <c:v>Total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Quarter'!$J$63:$U$63</c:f>
              <c:numCache>
                <c:formatCode>General</c:formatCode>
                <c:ptCount val="12"/>
                <c:pt idx="0">
                  <c:v>21698</c:v>
                </c:pt>
                <c:pt idx="1">
                  <c:v>16633</c:v>
                </c:pt>
                <c:pt idx="2">
                  <c:v>38331</c:v>
                </c:pt>
                <c:pt idx="3">
                  <c:v>13720</c:v>
                </c:pt>
                <c:pt idx="4">
                  <c:v>17423</c:v>
                </c:pt>
                <c:pt idx="5">
                  <c:v>31143</c:v>
                </c:pt>
                <c:pt idx="6">
                  <c:v>20966</c:v>
                </c:pt>
                <c:pt idx="7">
                  <c:v>18795</c:v>
                </c:pt>
                <c:pt idx="8">
                  <c:v>39761</c:v>
                </c:pt>
                <c:pt idx="9">
                  <c:v>17458</c:v>
                </c:pt>
                <c:pt idx="10">
                  <c:v>19606</c:v>
                </c:pt>
                <c:pt idx="11">
                  <c:v>37064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A-4DF6-A27A-9D99301F873A}"/>
            </c:ext>
          </c:extLst>
        </c:ser>
        <c:ser>
          <c:idx val="1"/>
          <c:order val="1"/>
          <c:tx>
            <c:strRef>
              <c:f>'[1]Summary per Quarter'!$A$64</c:f>
              <c:strCache>
                <c:ptCount val="1"/>
                <c:pt idx="0">
                  <c:v>Proactive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Quarter'!$J$64:$U$64</c:f>
              <c:numCache>
                <c:formatCode>General</c:formatCode>
                <c:ptCount val="12"/>
                <c:pt idx="0">
                  <c:v>19362</c:v>
                </c:pt>
                <c:pt idx="1">
                  <c:v>15212</c:v>
                </c:pt>
                <c:pt idx="2">
                  <c:v>34574</c:v>
                </c:pt>
                <c:pt idx="3">
                  <c:v>11815</c:v>
                </c:pt>
                <c:pt idx="4">
                  <c:v>2737</c:v>
                </c:pt>
                <c:pt idx="5">
                  <c:v>14552</c:v>
                </c:pt>
                <c:pt idx="6">
                  <c:v>2779</c:v>
                </c:pt>
                <c:pt idx="7">
                  <c:v>5160</c:v>
                </c:pt>
                <c:pt idx="8">
                  <c:v>7939</c:v>
                </c:pt>
                <c:pt idx="9">
                  <c:v>5744</c:v>
                </c:pt>
                <c:pt idx="10">
                  <c:v>7166</c:v>
                </c:pt>
                <c:pt idx="11">
                  <c:v>12910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2A-4DF6-A27A-9D99301F873A}"/>
            </c:ext>
          </c:extLst>
        </c:ser>
        <c:ser>
          <c:idx val="2"/>
          <c:order val="2"/>
          <c:tx>
            <c:strRef>
              <c:f>'[1]Summary per Quarter'!$A$65</c:f>
              <c:strCache>
                <c:ptCount val="1"/>
                <c:pt idx="0">
                  <c:v>Reactive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Quarter'!$J$65:$U$65</c:f>
              <c:numCache>
                <c:formatCode>General</c:formatCode>
                <c:ptCount val="12"/>
                <c:pt idx="0">
                  <c:v>1436</c:v>
                </c:pt>
                <c:pt idx="1">
                  <c:v>1421</c:v>
                </c:pt>
                <c:pt idx="2">
                  <c:v>2857</c:v>
                </c:pt>
                <c:pt idx="3">
                  <c:v>1902</c:v>
                </c:pt>
                <c:pt idx="4">
                  <c:v>14686</c:v>
                </c:pt>
                <c:pt idx="5">
                  <c:v>16588</c:v>
                </c:pt>
                <c:pt idx="6">
                  <c:v>18187</c:v>
                </c:pt>
                <c:pt idx="7">
                  <c:v>13635</c:v>
                </c:pt>
                <c:pt idx="8">
                  <c:v>31822</c:v>
                </c:pt>
                <c:pt idx="9">
                  <c:v>11714</c:v>
                </c:pt>
                <c:pt idx="10">
                  <c:v>12440</c:v>
                </c:pt>
                <c:pt idx="11">
                  <c:v>24154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2A-4DF6-A27A-9D99301F87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6220800"/>
        <c:axId val="1676219840"/>
      </c:barChart>
      <c:lineChart>
        <c:grouping val="standard"/>
        <c:varyColors val="0"/>
        <c:ser>
          <c:idx val="4"/>
          <c:order val="4"/>
          <c:tx>
            <c:strRef>
              <c:f>'[1]Summary per Quarter'!$A$67</c:f>
              <c:strCache>
                <c:ptCount val="1"/>
                <c:pt idx="0">
                  <c:v>TTR/DMRET - P1/Service Interrompu (&lt;=240 mins)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Quarter'!$J$67:$U$67</c:f>
              <c:numCache>
                <c:formatCode>General</c:formatCode>
                <c:ptCount val="12"/>
                <c:pt idx="0">
                  <c:v>234.94634193000002</c:v>
                </c:pt>
                <c:pt idx="1">
                  <c:v>722.05212439666673</c:v>
                </c:pt>
                <c:pt idx="2">
                  <c:v>478.49923316333337</c:v>
                </c:pt>
                <c:pt idx="3">
                  <c:v>225.98888890000001</c:v>
                </c:pt>
                <c:pt idx="4">
                  <c:v>311.61111110000002</c:v>
                </c:pt>
                <c:pt idx="5">
                  <c:v>268.8</c:v>
                </c:pt>
                <c:pt idx="6">
                  <c:v>383.95833333333331</c:v>
                </c:pt>
                <c:pt idx="7">
                  <c:v>32.081262626262621</c:v>
                </c:pt>
                <c:pt idx="8">
                  <c:v>208.01979797979797</c:v>
                </c:pt>
                <c:pt idx="9">
                  <c:v>293.98095238095237</c:v>
                </c:pt>
                <c:pt idx="10">
                  <c:v>579.61476190476196</c:v>
                </c:pt>
                <c:pt idx="11">
                  <c:v>436.7978571428572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2A-4DF6-A27A-9D99301F873A}"/>
            </c:ext>
          </c:extLst>
        </c:ser>
        <c:ser>
          <c:idx val="8"/>
          <c:order val="8"/>
          <c:tx>
            <c:strRef>
              <c:f>'[1]Summary per Quarter'!$A$71</c:f>
              <c:strCache>
                <c:ptCount val="1"/>
                <c:pt idx="0">
                  <c:v>m-NPS (&gt;=8.1)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Quarter'!$J$71:$U$71</c:f>
              <c:numCache>
                <c:formatCode>General</c:formatCode>
                <c:ptCount val="12"/>
                <c:pt idx="2">
                  <c:v>10</c:v>
                </c:pt>
                <c:pt idx="5">
                  <c:v>8.4</c:v>
                </c:pt>
                <c:pt idx="8">
                  <c:v>8.5</c:v>
                </c:pt>
                <c:pt idx="11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2A-4DF6-A27A-9D99301F87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6220800"/>
        <c:axId val="1676219840"/>
      </c:lineChart>
      <c:lineChart>
        <c:grouping val="standard"/>
        <c:varyColors val="0"/>
        <c:ser>
          <c:idx val="3"/>
          <c:order val="3"/>
          <c:tx>
            <c:strRef>
              <c:f>'[1]Summary per Quarter'!$A$66</c:f>
              <c:strCache>
                <c:ptCount val="1"/>
                <c:pt idx="0">
                  <c:v>SLA compliance (&gt;=90%)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Quarter'!$J$66:$U$66</c:f>
              <c:numCache>
                <c:formatCode>General</c:formatCode>
                <c:ptCount val="12"/>
                <c:pt idx="0">
                  <c:v>0.86</c:v>
                </c:pt>
                <c:pt idx="1">
                  <c:v>0.83333333333333337</c:v>
                </c:pt>
                <c:pt idx="2">
                  <c:v>0.84666666666666668</c:v>
                </c:pt>
                <c:pt idx="3">
                  <c:v>0.78666666666666663</c:v>
                </c:pt>
                <c:pt idx="4">
                  <c:v>0.97333333333333327</c:v>
                </c:pt>
                <c:pt idx="5">
                  <c:v>0.87999999999999989</c:v>
                </c:pt>
                <c:pt idx="6">
                  <c:v>0.76666666666666661</c:v>
                </c:pt>
                <c:pt idx="7">
                  <c:v>0.91206436660982115</c:v>
                </c:pt>
                <c:pt idx="8">
                  <c:v>0.83936551663824388</c:v>
                </c:pt>
                <c:pt idx="9">
                  <c:v>0.95589532000933009</c:v>
                </c:pt>
                <c:pt idx="10">
                  <c:v>0.97424667007426569</c:v>
                </c:pt>
                <c:pt idx="11">
                  <c:v>0.96507099504179794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2A-4DF6-A27A-9D99301F873A}"/>
            </c:ext>
          </c:extLst>
        </c:ser>
        <c:ser>
          <c:idx val="5"/>
          <c:order val="5"/>
          <c:tx>
            <c:strRef>
              <c:f>'[1]Summary per Quarter'!$A$68</c:f>
              <c:strCache>
                <c:ptCount val="1"/>
                <c:pt idx="0">
                  <c:v>Autonomy (&gt;=80%)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Quarter'!$J$68:$U$68</c:f>
              <c:numCache>
                <c:formatCode>General</c:formatCode>
                <c:ptCount val="12"/>
                <c:pt idx="0">
                  <c:v>0.83122809333333336</c:v>
                </c:pt>
                <c:pt idx="1">
                  <c:v>0.74948471066666666</c:v>
                </c:pt>
                <c:pt idx="2">
                  <c:v>0.79035640200000001</c:v>
                </c:pt>
                <c:pt idx="3">
                  <c:v>0.74955267800000003</c:v>
                </c:pt>
                <c:pt idx="4">
                  <c:v>0.81333333333333335</c:v>
                </c:pt>
                <c:pt idx="5">
                  <c:v>0.78144300566666669</c:v>
                </c:pt>
                <c:pt idx="6">
                  <c:v>0.7507999591712432</c:v>
                </c:pt>
                <c:pt idx="7">
                  <c:v>0.83391799625278029</c:v>
                </c:pt>
                <c:pt idx="8">
                  <c:v>0.79235897771201169</c:v>
                </c:pt>
                <c:pt idx="9">
                  <c:v>0.82176942284079713</c:v>
                </c:pt>
                <c:pt idx="10">
                  <c:v>0.85790904748908303</c:v>
                </c:pt>
                <c:pt idx="11">
                  <c:v>0.83983923516494008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2A-4DF6-A27A-9D99301F873A}"/>
            </c:ext>
          </c:extLst>
        </c:ser>
        <c:ser>
          <c:idx val="6"/>
          <c:order val="6"/>
          <c:tx>
            <c:strRef>
              <c:f>'[1]Summary per Quarter'!$A$69</c:f>
              <c:strCache>
                <c:ptCount val="1"/>
                <c:pt idx="0">
                  <c:v>Digital Usage - Reactive (&gt;=90%)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Quarter'!$J$69:$U$69</c:f>
              <c:numCache>
                <c:formatCode>General</c:formatCode>
                <c:ptCount val="12"/>
                <c:pt idx="0">
                  <c:v>0.55000000000000004</c:v>
                </c:pt>
                <c:pt idx="1">
                  <c:v>9.6666666666666665E-2</c:v>
                </c:pt>
                <c:pt idx="2">
                  <c:v>0.32333333333333336</c:v>
                </c:pt>
                <c:pt idx="3">
                  <c:v>0.64333333333333342</c:v>
                </c:pt>
                <c:pt idx="4">
                  <c:v>0.91041210233333336</c:v>
                </c:pt>
                <c:pt idx="5">
                  <c:v>0.77687271783333345</c:v>
                </c:pt>
                <c:pt idx="6">
                  <c:v>0.93432386433458381</c:v>
                </c:pt>
                <c:pt idx="7">
                  <c:v>0.8965132035809954</c:v>
                </c:pt>
                <c:pt idx="8">
                  <c:v>0.9154185339577896</c:v>
                </c:pt>
                <c:pt idx="9">
                  <c:v>0.93340131165050089</c:v>
                </c:pt>
                <c:pt idx="10">
                  <c:v>0.97675103420653631</c:v>
                </c:pt>
                <c:pt idx="11">
                  <c:v>0.95507617292851865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2A-4DF6-A27A-9D99301F873A}"/>
            </c:ext>
          </c:extLst>
        </c:ser>
        <c:ser>
          <c:idx val="7"/>
          <c:order val="7"/>
          <c:tx>
            <c:strRef>
              <c:f>'[1]Summary per Quarter'!$A$70</c:f>
              <c:strCache>
                <c:ptCount val="1"/>
                <c:pt idx="0">
                  <c:v>Zero Touch - Proactive (&gt;=15%)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Quarter'!$J$70:$U$70</c:f>
              <c:numCache>
                <c:formatCode>General</c:formatCode>
                <c:ptCount val="12"/>
                <c:pt idx="0">
                  <c:v>0.14333333333333334</c:v>
                </c:pt>
                <c:pt idx="1">
                  <c:v>0.11666666666666665</c:v>
                </c:pt>
                <c:pt idx="2">
                  <c:v>0.13</c:v>
                </c:pt>
                <c:pt idx="3">
                  <c:v>8.666666666666667E-2</c:v>
                </c:pt>
                <c:pt idx="4">
                  <c:v>0.17666666666666667</c:v>
                </c:pt>
                <c:pt idx="5">
                  <c:v>0.13166666666666665</c:v>
                </c:pt>
                <c:pt idx="6">
                  <c:v>0.12635176256004624</c:v>
                </c:pt>
                <c:pt idx="7">
                  <c:v>0.21923257933696463</c:v>
                </c:pt>
                <c:pt idx="8">
                  <c:v>0.17279217094850544</c:v>
                </c:pt>
                <c:pt idx="9">
                  <c:v>9.8209977189176234E-2</c:v>
                </c:pt>
                <c:pt idx="10">
                  <c:v>0.14756004321449348</c:v>
                </c:pt>
                <c:pt idx="11">
                  <c:v>0.12288501020183486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2A-4DF6-A27A-9D99301F87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4476304"/>
        <c:axId val="1523665648"/>
      </c:lineChart>
      <c:catAx>
        <c:axId val="167622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19840"/>
        <c:crosses val="autoZero"/>
        <c:auto val="1"/>
        <c:lblAlgn val="ctr"/>
        <c:lblOffset val="100"/>
        <c:noMultiLvlLbl val="0"/>
      </c:catAx>
      <c:valAx>
        <c:axId val="1676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20800"/>
        <c:crosses val="autoZero"/>
        <c:crossBetween val="between"/>
      </c:valAx>
      <c:valAx>
        <c:axId val="1523665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76304"/>
        <c:crosses val="max"/>
        <c:crossBetween val="between"/>
      </c:valAx>
      <c:catAx>
        <c:axId val="128447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3665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Mobility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'[1]Summary per Quarter'!$A$74</c:f>
              <c:strCache>
                <c:ptCount val="1"/>
                <c:pt idx="0">
                  <c:v>Total 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Quarter'!$J$74:$U$74</c:f>
              <c:numCache>
                <c:formatCode>General</c:formatCode>
                <c:ptCount val="12"/>
                <c:pt idx="0">
                  <c:v>373842</c:v>
                </c:pt>
                <c:pt idx="1">
                  <c:v>335606</c:v>
                </c:pt>
                <c:pt idx="2">
                  <c:v>709448</c:v>
                </c:pt>
                <c:pt idx="3">
                  <c:v>346393</c:v>
                </c:pt>
                <c:pt idx="4">
                  <c:v>348421</c:v>
                </c:pt>
                <c:pt idx="5">
                  <c:v>694814</c:v>
                </c:pt>
                <c:pt idx="6">
                  <c:v>208833</c:v>
                </c:pt>
                <c:pt idx="7">
                  <c:v>172553</c:v>
                </c:pt>
                <c:pt idx="8">
                  <c:v>381386</c:v>
                </c:pt>
                <c:pt idx="9">
                  <c:v>199518</c:v>
                </c:pt>
                <c:pt idx="10">
                  <c:v>188981</c:v>
                </c:pt>
                <c:pt idx="11">
                  <c:v>388499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5-43FB-AB36-250FDB7456F4}"/>
            </c:ext>
          </c:extLst>
        </c:ser>
        <c:ser>
          <c:idx val="1"/>
          <c:order val="1"/>
          <c:tx>
            <c:strRef>
              <c:f>'[1]Summary per Quarter'!$A$75</c:f>
              <c:strCache>
                <c:ptCount val="1"/>
                <c:pt idx="0">
                  <c:v>Internal Processing (=TDI+TM)/total)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Quarter'!$J$75:$U$75</c:f>
              <c:numCache>
                <c:formatCode>General</c:formatCode>
                <c:ptCount val="12"/>
                <c:pt idx="0">
                  <c:v>0.24119681311359245</c:v>
                </c:pt>
                <c:pt idx="1">
                  <c:v>0.21811356292429962</c:v>
                </c:pt>
                <c:pt idx="2">
                  <c:v>0.22965518801894605</c:v>
                </c:pt>
                <c:pt idx="3">
                  <c:v>0.21495412633847666</c:v>
                </c:pt>
                <c:pt idx="4">
                  <c:v>0.22044536790857427</c:v>
                </c:pt>
                <c:pt idx="5">
                  <c:v>0.21769974712352547</c:v>
                </c:pt>
                <c:pt idx="6">
                  <c:v>0.23769999999999999</c:v>
                </c:pt>
                <c:pt idx="7">
                  <c:v>0.22383333333333333</c:v>
                </c:pt>
                <c:pt idx="8">
                  <c:v>0.23076666666666665</c:v>
                </c:pt>
                <c:pt idx="9">
                  <c:v>0.17316666666666669</c:v>
                </c:pt>
                <c:pt idx="10">
                  <c:v>0.20816666666666669</c:v>
                </c:pt>
                <c:pt idx="11">
                  <c:v>0.19066666666666668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95-43FB-AB36-250FDB7456F4}"/>
            </c:ext>
          </c:extLst>
        </c:ser>
        <c:ser>
          <c:idx val="2"/>
          <c:order val="2"/>
          <c:tx>
            <c:strRef>
              <c:f>'[1]Summary per Quarter'!$A$76</c:f>
              <c:strCache>
                <c:ptCount val="1"/>
                <c:pt idx="0">
                  <c:v>NPS (Front Desk)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Quarter'!$J$76:$U$76</c:f>
              <c:numCache>
                <c:formatCode>General</c:formatCode>
                <c:ptCount val="12"/>
                <c:pt idx="0">
                  <c:v>8.3666666666666671</c:v>
                </c:pt>
                <c:pt idx="1">
                  <c:v>15.74</c:v>
                </c:pt>
                <c:pt idx="2">
                  <c:v>12.053333333333335</c:v>
                </c:pt>
                <c:pt idx="3">
                  <c:v>25.853333333333335</c:v>
                </c:pt>
                <c:pt idx="4">
                  <c:v>22.363333333333333</c:v>
                </c:pt>
                <c:pt idx="5">
                  <c:v>24.108333333333334</c:v>
                </c:pt>
                <c:pt idx="6">
                  <c:v>42</c:v>
                </c:pt>
                <c:pt idx="7">
                  <c:v>16.7</c:v>
                </c:pt>
                <c:pt idx="8">
                  <c:v>29.349999999999998</c:v>
                </c:pt>
                <c:pt idx="9">
                  <c:v>21.333333333333332</c:v>
                </c:pt>
                <c:pt idx="10">
                  <c:v>18.533333333333331</c:v>
                </c:pt>
                <c:pt idx="11">
                  <c:v>19.933333333333334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95-43FB-AB36-250FDB7456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6220800"/>
        <c:axId val="1676219840"/>
      </c:barChart>
      <c:lineChart>
        <c:grouping val="standard"/>
        <c:varyColors val="0"/>
        <c:ser>
          <c:idx val="4"/>
          <c:order val="4"/>
          <c:tx>
            <c:strRef>
              <c:f>'[1]Summary per Quarter'!$A$78</c:f>
              <c:strCache>
                <c:ptCount val="1"/>
                <c:pt idx="0">
                  <c:v>% of mails handled &lt;24h (Voice / Data / IOT)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Quarter'!$J$78:$U$78</c:f>
              <c:numCache>
                <c:formatCode>General</c:formatCode>
                <c:ptCount val="12"/>
                <c:pt idx="0">
                  <c:v>0.84666666666666668</c:v>
                </c:pt>
                <c:pt idx="1">
                  <c:v>0.81</c:v>
                </c:pt>
                <c:pt idx="2">
                  <c:v>0.82833333333333348</c:v>
                </c:pt>
                <c:pt idx="3">
                  <c:v>0.8833333333333333</c:v>
                </c:pt>
                <c:pt idx="4">
                  <c:v>0.83550000000000002</c:v>
                </c:pt>
                <c:pt idx="5">
                  <c:v>0.85941666666666672</c:v>
                </c:pt>
                <c:pt idx="6">
                  <c:v>0.87666666666666659</c:v>
                </c:pt>
                <c:pt idx="7">
                  <c:v>0.88629999999999998</c:v>
                </c:pt>
                <c:pt idx="8">
                  <c:v>0.88148333333333329</c:v>
                </c:pt>
                <c:pt idx="9">
                  <c:v>0.89306666666666656</c:v>
                </c:pt>
                <c:pt idx="10">
                  <c:v>0.90770000000000006</c:v>
                </c:pt>
                <c:pt idx="11">
                  <c:v>0.9003833333333332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95-43FB-AB36-250FDB7456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6220800"/>
        <c:axId val="1676219840"/>
      </c:lineChart>
      <c:lineChart>
        <c:grouping val="standard"/>
        <c:varyColors val="0"/>
        <c:ser>
          <c:idx val="3"/>
          <c:order val="3"/>
          <c:tx>
            <c:strRef>
              <c:f>'[1]Summary per Quarter'!$A$77</c:f>
              <c:strCache>
                <c:ptCount val="1"/>
                <c:pt idx="0">
                  <c:v>Digitalisation 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Quarter'!$J$77:$U$77</c:f>
              <c:numCache>
                <c:formatCode>General</c:formatCode>
                <c:ptCount val="12"/>
                <c:pt idx="0">
                  <c:v>0.75880318688640758</c:v>
                </c:pt>
                <c:pt idx="1">
                  <c:v>0.78188643707570038</c:v>
                </c:pt>
                <c:pt idx="2">
                  <c:v>0.77034481198105398</c:v>
                </c:pt>
                <c:pt idx="3">
                  <c:v>0.78504587366152334</c:v>
                </c:pt>
                <c:pt idx="4">
                  <c:v>0.77955463209142573</c:v>
                </c:pt>
                <c:pt idx="5">
                  <c:v>0.78230025287647453</c:v>
                </c:pt>
                <c:pt idx="6">
                  <c:v>0.76229999999999998</c:v>
                </c:pt>
                <c:pt idx="7">
                  <c:v>0.77616666666666667</c:v>
                </c:pt>
                <c:pt idx="8">
                  <c:v>0.76923333333333332</c:v>
                </c:pt>
                <c:pt idx="9">
                  <c:v>0.82683333333333331</c:v>
                </c:pt>
                <c:pt idx="10">
                  <c:v>0.79183333333333328</c:v>
                </c:pt>
                <c:pt idx="11">
                  <c:v>0.80933333333333335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95-43FB-AB36-250FDB7456F4}"/>
            </c:ext>
          </c:extLst>
        </c:ser>
        <c:ser>
          <c:idx val="5"/>
          <c:order val="5"/>
          <c:tx>
            <c:strRef>
              <c:f>'[1]Summary per Quarter'!$A$79</c:f>
              <c:strCache>
                <c:ptCount val="1"/>
                <c:pt idx="0">
                  <c:v>O2D (Order to delivery) Global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'[1]Summary per Quarter'!$J$15:$U$15</c:f>
              <c:strCache>
                <c:ptCount val="12"/>
                <c:pt idx="0">
                  <c:v>Q1 2024</c:v>
                </c:pt>
                <c:pt idx="1">
                  <c:v>Q2 2024</c:v>
                </c:pt>
                <c:pt idx="2">
                  <c:v>H1 2024</c:v>
                </c:pt>
                <c:pt idx="3">
                  <c:v>Q3 2024</c:v>
                </c:pt>
                <c:pt idx="4">
                  <c:v>Q4 2024</c:v>
                </c:pt>
                <c:pt idx="5">
                  <c:v>H2 2024</c:v>
                </c:pt>
                <c:pt idx="6">
                  <c:v>Q1 2025</c:v>
                </c:pt>
                <c:pt idx="7">
                  <c:v>Q2 2025</c:v>
                </c:pt>
                <c:pt idx="8">
                  <c:v>H1 2025</c:v>
                </c:pt>
                <c:pt idx="9">
                  <c:v>Q3 2025</c:v>
                </c:pt>
                <c:pt idx="10">
                  <c:v>Q4 2025</c:v>
                </c:pt>
                <c:pt idx="11">
                  <c:v>H2 2025</c:v>
                </c:pt>
              </c:strCache>
            </c:strRef>
          </c:cat>
          <c:val>
            <c:numRef>
              <c:f>'[1]Summary per Quarter'!$J$79:$U$79</c:f>
              <c:numCache>
                <c:formatCode>General</c:formatCode>
                <c:ptCount val="12"/>
                <c:pt idx="0">
                  <c:v>2.4999999999999996</c:v>
                </c:pt>
                <c:pt idx="1">
                  <c:v>2.2666666666666666</c:v>
                </c:pt>
                <c:pt idx="2">
                  <c:v>2.3833333333333333</c:v>
                </c:pt>
                <c:pt idx="3">
                  <c:v>1.9666666666666668</c:v>
                </c:pt>
                <c:pt idx="4">
                  <c:v>1.85</c:v>
                </c:pt>
                <c:pt idx="5">
                  <c:v>1.92</c:v>
                </c:pt>
                <c:pt idx="6">
                  <c:v>1.9333333333333333</c:v>
                </c:pt>
                <c:pt idx="7">
                  <c:v>1.8666666666666665</c:v>
                </c:pt>
                <c:pt idx="8">
                  <c:v>1.9000000000000001</c:v>
                </c:pt>
                <c:pt idx="9">
                  <c:v>1.7666666666666666</c:v>
                </c:pt>
                <c:pt idx="10">
                  <c:v>1.8333333333333333</c:v>
                </c:pt>
                <c:pt idx="11">
                  <c:v>1.7999999999999998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95-43FB-AB36-250FDB7456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4476304"/>
        <c:axId val="1523665648"/>
      </c:lineChart>
      <c:catAx>
        <c:axId val="167622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19840"/>
        <c:crosses val="autoZero"/>
        <c:auto val="1"/>
        <c:lblAlgn val="ctr"/>
        <c:lblOffset val="100"/>
        <c:noMultiLvlLbl val="0"/>
      </c:catAx>
      <c:valAx>
        <c:axId val="1676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20800"/>
        <c:crosses val="autoZero"/>
        <c:crossBetween val="between"/>
      </c:valAx>
      <c:valAx>
        <c:axId val="1523665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76304"/>
        <c:crosses val="max"/>
        <c:crossBetween val="between"/>
      </c:valAx>
      <c:catAx>
        <c:axId val="128447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3665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452196</xdr:colOff>
      <xdr:row>0</xdr:row>
      <xdr:rowOff>0</xdr:rowOff>
    </xdr:from>
    <xdr:to>
      <xdr:col>63</xdr:col>
      <xdr:colOff>490683</xdr:colOff>
      <xdr:row>1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D688997-38B5-455D-9FB0-848AB738E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317499</xdr:colOff>
      <xdr:row>0</xdr:row>
      <xdr:rowOff>0</xdr:rowOff>
    </xdr:from>
    <xdr:to>
      <xdr:col>38</xdr:col>
      <xdr:colOff>307878</xdr:colOff>
      <xdr:row>1</xdr:row>
      <xdr:rowOff>9621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94C034E-4D5E-4832-BA45-0149489CD7F8}"/>
            </a:ext>
            <a:ext uri="{147F2762-F138-4A5C-976F-8EAC2B608ADB}">
              <a16:predDERef xmlns:a16="http://schemas.microsoft.com/office/drawing/2014/main" pred="{7B352050-3C9E-4980-B1D2-C42837FA8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404091</xdr:colOff>
      <xdr:row>1</xdr:row>
      <xdr:rowOff>124787</xdr:rowOff>
    </xdr:from>
    <xdr:to>
      <xdr:col>38</xdr:col>
      <xdr:colOff>308841</xdr:colOff>
      <xdr:row>13</xdr:row>
      <xdr:rowOff>1539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B8FED666-3A55-4112-94F6-9C4368D5692A}"/>
            </a:ext>
            <a:ext uri="{147F2762-F138-4A5C-976F-8EAC2B608ADB}">
              <a16:predDERef xmlns:a16="http://schemas.microsoft.com/office/drawing/2014/main" pred="{994C034E-4D5E-4832-BA45-0149489CD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123247</xdr:colOff>
      <xdr:row>13</xdr:row>
      <xdr:rowOff>94480</xdr:rowOff>
    </xdr:from>
    <xdr:to>
      <xdr:col>41</xdr:col>
      <xdr:colOff>315191</xdr:colOff>
      <xdr:row>35</xdr:row>
      <xdr:rowOff>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DEC24058-E96A-4096-BF3F-CC7BB787AB34}"/>
            </a:ext>
            <a:ext uri="{147F2762-F138-4A5C-976F-8EAC2B608ADB}">
              <a16:predDERef xmlns:a16="http://schemas.microsoft.com/office/drawing/2014/main" pred="{E98CB654-4049-469B-893C-1D34DEB66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35</xdr:row>
      <xdr:rowOff>0</xdr:rowOff>
    </xdr:from>
    <xdr:to>
      <xdr:col>42</xdr:col>
      <xdr:colOff>191943</xdr:colOff>
      <xdr:row>52</xdr:row>
      <xdr:rowOff>114107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D01C05AA-3C53-446A-931C-59C43EC540BC}"/>
            </a:ext>
            <a:ext uri="{147F2762-F138-4A5C-976F-8EAC2B608ADB}">
              <a16:predDERef xmlns:a16="http://schemas.microsoft.com/office/drawing/2014/main" pred="{E98CB654-4049-469B-893C-1D34DEB66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55</xdr:row>
      <xdr:rowOff>0</xdr:rowOff>
    </xdr:from>
    <xdr:to>
      <xdr:col>43</xdr:col>
      <xdr:colOff>191943</xdr:colOff>
      <xdr:row>76</xdr:row>
      <xdr:rowOff>114107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E706431A-A081-4B5E-9064-B060684AD32C}"/>
            </a:ext>
            <a:ext uri="{147F2762-F138-4A5C-976F-8EAC2B608ADB}">
              <a16:predDERef xmlns:a16="http://schemas.microsoft.com/office/drawing/2014/main" pred="{E98CB654-4049-469B-893C-1D34DEB66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range0.sharepoint.com/sites/GCSKeyPerformanceIndicators/Shared%20Documents/YoY/GCS%20performance%20summary%20v1.xlsx" TargetMode="External"/><Relationship Id="rId1" Type="http://schemas.openxmlformats.org/officeDocument/2006/relationships/externalLinkPath" Target="https://orange0.sharepoint.com/sites/GCSKeyPerformanceIndicators/Shared%20Documents/YoY/GCS%20performance%20summary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(2)"/>
      <sheetName val="GCS All Tickets Trends "/>
      <sheetName val="Budgeted Weighted Tickets"/>
      <sheetName val="Change Management"/>
      <sheetName val="GDO Global KPI Trend (2026)"/>
      <sheetName val="DMRET 98TH Percentile  "/>
      <sheetName val="GDO Global KPI Trend"/>
      <sheetName val=" GCS Total Monthly Incidents "/>
      <sheetName val="Summary per Quarter"/>
      <sheetName val="Mobility  French"/>
      <sheetName val="Global"/>
      <sheetName val="Connectivity"/>
      <sheetName val="Feuil1"/>
      <sheetName val="UC"/>
      <sheetName val="Cloud"/>
      <sheetName val="IoT"/>
      <sheetName val="Sheet1"/>
      <sheetName val="FCS Prod &amp; Occ Breakdown "/>
      <sheetName val="Mobility English"/>
      <sheetName val="FR vs INTL"/>
      <sheetName val="duplication of Fr vs INT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J2" t="str">
            <v>Q1 2024</v>
          </cell>
          <cell r="K2" t="str">
            <v>Q2 2024</v>
          </cell>
          <cell r="L2" t="str">
            <v>H1 2024</v>
          </cell>
          <cell r="M2" t="str">
            <v>Q3 2024</v>
          </cell>
          <cell r="N2" t="str">
            <v>Q4 2024</v>
          </cell>
          <cell r="O2" t="str">
            <v>H2 2024</v>
          </cell>
          <cell r="P2" t="str">
            <v>Q1 2025</v>
          </cell>
          <cell r="Q2" t="str">
            <v>Q2 2025</v>
          </cell>
          <cell r="R2" t="str">
            <v>H1 2025</v>
          </cell>
          <cell r="S2" t="str">
            <v>Q3 2025</v>
          </cell>
          <cell r="T2" t="str">
            <v>Q4 2025</v>
          </cell>
          <cell r="U2" t="str">
            <v>H2 2025</v>
          </cell>
        </row>
        <row r="3">
          <cell r="A3" t="str">
            <v>Total volume</v>
          </cell>
          <cell r="J3">
            <v>287719</v>
          </cell>
          <cell r="K3">
            <v>284279</v>
          </cell>
          <cell r="L3">
            <v>571998</v>
          </cell>
          <cell r="M3">
            <v>265059</v>
          </cell>
          <cell r="N3">
            <v>276261</v>
          </cell>
          <cell r="O3">
            <v>541320</v>
          </cell>
          <cell r="P3">
            <v>261155</v>
          </cell>
          <cell r="Q3">
            <v>280082</v>
          </cell>
          <cell r="R3">
            <v>541237</v>
          </cell>
          <cell r="S3">
            <v>273284</v>
          </cell>
          <cell r="T3">
            <v>275515</v>
          </cell>
          <cell r="U3">
            <v>548799</v>
          </cell>
        </row>
        <row r="4">
          <cell r="A4" t="str">
            <v>Proactive</v>
          </cell>
          <cell r="J4">
            <v>226162</v>
          </cell>
          <cell r="K4">
            <v>223921</v>
          </cell>
          <cell r="L4">
            <v>450083</v>
          </cell>
          <cell r="M4">
            <v>197973</v>
          </cell>
          <cell r="N4">
            <v>201109</v>
          </cell>
          <cell r="O4">
            <v>399082</v>
          </cell>
          <cell r="P4">
            <v>178001</v>
          </cell>
          <cell r="Q4">
            <v>199923</v>
          </cell>
          <cell r="R4">
            <v>377924</v>
          </cell>
          <cell r="S4">
            <v>192594</v>
          </cell>
          <cell r="T4">
            <v>193988</v>
          </cell>
          <cell r="U4">
            <v>386582</v>
          </cell>
        </row>
        <row r="5">
          <cell r="A5" t="str">
            <v>Reactive</v>
          </cell>
          <cell r="J5">
            <v>64416</v>
          </cell>
          <cell r="K5">
            <v>65271</v>
          </cell>
          <cell r="L5">
            <v>129687</v>
          </cell>
          <cell r="M5">
            <v>69144</v>
          </cell>
          <cell r="N5">
            <v>80932</v>
          </cell>
          <cell r="O5">
            <v>150076</v>
          </cell>
          <cell r="P5">
            <v>81827</v>
          </cell>
          <cell r="Q5">
            <v>75823</v>
          </cell>
          <cell r="R5">
            <v>157650</v>
          </cell>
          <cell r="S5">
            <v>80283</v>
          </cell>
          <cell r="T5">
            <v>80036</v>
          </cell>
          <cell r="U5">
            <v>160319</v>
          </cell>
        </row>
        <row r="6">
          <cell r="A6" t="str">
            <v>SLA compliance (&gt;=87%)</v>
          </cell>
          <cell r="J6">
            <v>0.88030666666666679</v>
          </cell>
          <cell r="K6">
            <v>0.87598666666666669</v>
          </cell>
          <cell r="L6">
            <v>0.87814666666666663</v>
          </cell>
          <cell r="M6">
            <v>0.86453978905354101</v>
          </cell>
          <cell r="N6">
            <v>0.90250421034282979</v>
          </cell>
          <cell r="O6">
            <v>0.88352199969818535</v>
          </cell>
          <cell r="P6">
            <v>0.85858413433171188</v>
          </cell>
          <cell r="Q6">
            <v>0.88966063895382452</v>
          </cell>
          <cell r="R6">
            <v>0.87412238664276809</v>
          </cell>
          <cell r="S6">
            <v>0.9037657306685325</v>
          </cell>
          <cell r="T6">
            <v>0.90366266734818645</v>
          </cell>
          <cell r="U6">
            <v>0.90371419900835959</v>
          </cell>
        </row>
        <row r="7">
          <cell r="A7" t="str">
            <v>TTR/DMRET - P1/Service Interrompu (&lt;=240 mins)</v>
          </cell>
          <cell r="J7">
            <v>476.98024724284949</v>
          </cell>
          <cell r="K7">
            <v>481.14875093907483</v>
          </cell>
          <cell r="L7">
            <v>479.06449909096216</v>
          </cell>
          <cell r="M7">
            <v>327.30182744613239</v>
          </cell>
          <cell r="N7">
            <v>343.74994671489759</v>
          </cell>
          <cell r="O7">
            <v>335.52588708051496</v>
          </cell>
          <cell r="P7">
            <v>440.35790450582482</v>
          </cell>
          <cell r="Q7">
            <v>298.58113773093817</v>
          </cell>
          <cell r="R7">
            <v>369.46952111838152</v>
          </cell>
          <cell r="S7">
            <v>362.75999518996827</v>
          </cell>
          <cell r="T7">
            <v>374.80073015873018</v>
          </cell>
          <cell r="U7">
            <v>368.78036267434919</v>
          </cell>
        </row>
        <row r="8">
          <cell r="A8" t="str">
            <v>Autonomy (&gt;=80%)</v>
          </cell>
          <cell r="J8">
            <v>0.72039878883241948</v>
          </cell>
          <cell r="K8">
            <v>0.7116003351371033</v>
          </cell>
          <cell r="L8">
            <v>0.71599956198476145</v>
          </cell>
          <cell r="M8">
            <v>0.69817115581111622</v>
          </cell>
          <cell r="N8">
            <v>0.71703132217391419</v>
          </cell>
          <cell r="O8">
            <v>0.70760123899251526</v>
          </cell>
          <cell r="P8">
            <v>0.72641844082889084</v>
          </cell>
          <cell r="Q8">
            <v>0.76667693258388936</v>
          </cell>
          <cell r="R8">
            <v>0.74654768670639005</v>
          </cell>
          <cell r="S8">
            <v>0.76501166234593732</v>
          </cell>
          <cell r="T8">
            <v>0.76659014283115001</v>
          </cell>
          <cell r="U8">
            <v>0.76580090258854372</v>
          </cell>
        </row>
        <row r="9">
          <cell r="A9" t="str">
            <v>Digital Usage - Reactive (&gt;=70%)</v>
          </cell>
          <cell r="J9">
            <v>0.63675930701711358</v>
          </cell>
          <cell r="K9">
            <v>0.5514154411657215</v>
          </cell>
          <cell r="L9">
            <v>0.59408737409141765</v>
          </cell>
          <cell r="M9">
            <v>0.64405333333333337</v>
          </cell>
          <cell r="N9">
            <v>0.6582857538000001</v>
          </cell>
          <cell r="O9">
            <v>0.65116954356666668</v>
          </cell>
          <cell r="P9">
            <v>0.66954990760430522</v>
          </cell>
          <cell r="Q9">
            <v>0.66910869038535781</v>
          </cell>
          <cell r="R9">
            <v>0.66932929899483151</v>
          </cell>
          <cell r="S9">
            <v>0.72830865165516001</v>
          </cell>
          <cell r="T9">
            <v>0.73411616361093157</v>
          </cell>
          <cell r="U9">
            <v>0.73121240763304585</v>
          </cell>
        </row>
        <row r="10">
          <cell r="A10" t="str">
            <v>Zero Touch - Proactive (&gt;=15%)</v>
          </cell>
          <cell r="J10">
            <v>0.22641573824528122</v>
          </cell>
          <cell r="K10">
            <v>0.23366294586004449</v>
          </cell>
          <cell r="L10">
            <v>0.23003934205266283</v>
          </cell>
          <cell r="M10">
            <v>0.19700666666666669</v>
          </cell>
          <cell r="N10">
            <v>0.20599333333333333</v>
          </cell>
          <cell r="O10">
            <v>0.20150000000000001</v>
          </cell>
          <cell r="P10">
            <v>0.199837457442477</v>
          </cell>
          <cell r="Q10">
            <v>0.23060969253871294</v>
          </cell>
          <cell r="R10">
            <v>0.215223574990595</v>
          </cell>
          <cell r="S10">
            <v>0.19597563299757709</v>
          </cell>
          <cell r="T10">
            <v>0.19647899499068217</v>
          </cell>
          <cell r="U10">
            <v>0.19622731399412963</v>
          </cell>
        </row>
        <row r="11">
          <cell r="A11" t="str">
            <v>m-NPS - Global (&gt;=8.1)</v>
          </cell>
          <cell r="L11">
            <v>8.4127700567362176</v>
          </cell>
          <cell r="O11">
            <v>8.2119999999999997</v>
          </cell>
          <cell r="R11">
            <v>8.4375833333333325</v>
          </cell>
          <cell r="U11">
            <v>8.336333333333334</v>
          </cell>
        </row>
        <row r="12">
          <cell r="A12" t="str">
            <v>m-NPS - FR(&gt;=8.1)</v>
          </cell>
          <cell r="J12">
            <v>8.1709741341450499</v>
          </cell>
          <cell r="K12">
            <v>8.1000597665504497</v>
          </cell>
          <cell r="L12">
            <v>8.0819251418405429</v>
          </cell>
          <cell r="M12">
            <v>8.043333333333333</v>
          </cell>
          <cell r="N12">
            <v>8.1166666666666671</v>
          </cell>
          <cell r="O12">
            <v>8.0799999999999983</v>
          </cell>
          <cell r="P12">
            <v>8.2866666666666671</v>
          </cell>
          <cell r="Q12">
            <v>8.3012499999999996</v>
          </cell>
          <cell r="R12">
            <v>8.2939583333333324</v>
          </cell>
          <cell r="S12">
            <v>8.3258333333333336</v>
          </cell>
          <cell r="T12">
            <v>8.6558333333333337</v>
          </cell>
          <cell r="U12">
            <v>8.4908333333333346</v>
          </cell>
        </row>
        <row r="13">
          <cell r="A13" t="str">
            <v>m-NPS - INTL(&gt;=8.1)</v>
          </cell>
          <cell r="L13">
            <v>8.6333333333333329</v>
          </cell>
          <cell r="O13">
            <v>8.2999999999999989</v>
          </cell>
          <cell r="R13">
            <v>8.5333333333333332</v>
          </cell>
          <cell r="U13">
            <v>8.2333333333333325</v>
          </cell>
        </row>
        <row r="15">
          <cell r="J15" t="str">
            <v>Q1 2024</v>
          </cell>
          <cell r="K15" t="str">
            <v>Q2 2024</v>
          </cell>
          <cell r="L15" t="str">
            <v>H1 2024</v>
          </cell>
          <cell r="M15" t="str">
            <v>Q3 2024</v>
          </cell>
          <cell r="N15" t="str">
            <v>Q4 2024</v>
          </cell>
          <cell r="O15" t="str">
            <v>H2 2024</v>
          </cell>
          <cell r="P15" t="str">
            <v>Q1 2025</v>
          </cell>
          <cell r="Q15" t="str">
            <v>Q2 2025</v>
          </cell>
          <cell r="R15" t="str">
            <v>H1 2025</v>
          </cell>
          <cell r="S15" t="str">
            <v>Q3 2025</v>
          </cell>
          <cell r="T15" t="str">
            <v>Q4 2025</v>
          </cell>
          <cell r="U15" t="str">
            <v>H2 2025</v>
          </cell>
        </row>
        <row r="16">
          <cell r="A16" t="str">
            <v>Total volume</v>
          </cell>
          <cell r="J16">
            <v>57075</v>
          </cell>
          <cell r="K16">
            <v>52228</v>
          </cell>
          <cell r="L16">
            <v>109303</v>
          </cell>
          <cell r="M16">
            <v>55428</v>
          </cell>
          <cell r="N16">
            <v>54515</v>
          </cell>
          <cell r="O16">
            <v>109943</v>
          </cell>
          <cell r="P16">
            <v>50298</v>
          </cell>
          <cell r="Q16">
            <v>57950</v>
          </cell>
          <cell r="R16">
            <v>108248</v>
          </cell>
          <cell r="S16">
            <v>55221</v>
          </cell>
          <cell r="T16">
            <v>55002</v>
          </cell>
          <cell r="U16">
            <v>110223</v>
          </cell>
        </row>
        <row r="17">
          <cell r="A17" t="str">
            <v>Proactive</v>
          </cell>
          <cell r="J17">
            <v>46068</v>
          </cell>
          <cell r="K17">
            <v>46383</v>
          </cell>
          <cell r="L17">
            <v>92451</v>
          </cell>
          <cell r="M17">
            <v>48167</v>
          </cell>
          <cell r="N17">
            <v>47847</v>
          </cell>
          <cell r="O17">
            <v>96014</v>
          </cell>
          <cell r="P17">
            <v>39082</v>
          </cell>
          <cell r="Q17">
            <v>45971</v>
          </cell>
          <cell r="R17">
            <v>85053</v>
          </cell>
          <cell r="S17">
            <v>44706</v>
          </cell>
          <cell r="T17">
            <v>44920</v>
          </cell>
          <cell r="U17">
            <v>89626</v>
          </cell>
        </row>
        <row r="18">
          <cell r="A18" t="str">
            <v>Reactive</v>
          </cell>
          <cell r="J18">
            <v>14766</v>
          </cell>
          <cell r="K18">
            <v>10758</v>
          </cell>
          <cell r="L18">
            <v>25524</v>
          </cell>
          <cell r="M18">
            <v>10871</v>
          </cell>
          <cell r="N18">
            <v>12205</v>
          </cell>
          <cell r="O18">
            <v>23076</v>
          </cell>
          <cell r="P18">
            <v>9732</v>
          </cell>
          <cell r="Q18">
            <v>9907</v>
          </cell>
          <cell r="R18">
            <v>19639</v>
          </cell>
          <cell r="S18">
            <v>9522</v>
          </cell>
          <cell r="T18">
            <v>9608</v>
          </cell>
          <cell r="U18">
            <v>19130</v>
          </cell>
        </row>
        <row r="19">
          <cell r="A19" t="str">
            <v>SLA compliance (&gt;=88%)</v>
          </cell>
          <cell r="J19">
            <v>0.90786666666666671</v>
          </cell>
          <cell r="K19">
            <v>0.91259999999999997</v>
          </cell>
          <cell r="L19">
            <v>0.91023333333333334</v>
          </cell>
          <cell r="M19">
            <v>0.89710000000000001</v>
          </cell>
          <cell r="N19">
            <v>0.89863333333333328</v>
          </cell>
          <cell r="O19">
            <v>0.89786666666666659</v>
          </cell>
          <cell r="P19">
            <v>0.89710000000000001</v>
          </cell>
          <cell r="Q19">
            <v>0.89633333333333332</v>
          </cell>
          <cell r="R19">
            <v>0.89671666666666661</v>
          </cell>
          <cell r="S19">
            <v>0.89130000000000009</v>
          </cell>
          <cell r="T19">
            <v>0.88206666666666667</v>
          </cell>
          <cell r="U19">
            <v>0.88668333333333338</v>
          </cell>
        </row>
        <row r="20">
          <cell r="A20" t="str">
            <v>TTR/DMRET - P1/Service Interrompu (&lt;=360 mins)</v>
          </cell>
          <cell r="J20">
            <v>382.66666666666669</v>
          </cell>
          <cell r="K20">
            <v>393.66666666666669</v>
          </cell>
          <cell r="L20">
            <v>388.16666666666669</v>
          </cell>
          <cell r="M20">
            <v>487.33333333333331</v>
          </cell>
          <cell r="N20">
            <v>438.33333333333331</v>
          </cell>
          <cell r="O20">
            <v>462.83333333333331</v>
          </cell>
          <cell r="P20">
            <v>694.33333333333337</v>
          </cell>
          <cell r="Q20">
            <v>567</v>
          </cell>
          <cell r="R20">
            <v>630.66666666666674</v>
          </cell>
          <cell r="S20">
            <v>662</v>
          </cell>
          <cell r="T20">
            <v>683</v>
          </cell>
          <cell r="U20">
            <v>672.5</v>
          </cell>
        </row>
        <row r="21">
          <cell r="A21" t="str">
            <v>Autonomy (&gt;=95%)</v>
          </cell>
          <cell r="J21">
            <v>0.96730944191770885</v>
          </cell>
          <cell r="K21">
            <v>0.97152268381108786</v>
          </cell>
          <cell r="L21">
            <v>0.96941606286439841</v>
          </cell>
          <cell r="M21">
            <v>0.97127077897176661</v>
          </cell>
          <cell r="N21">
            <v>0.96905993331706919</v>
          </cell>
          <cell r="O21">
            <v>0.9701653561444179</v>
          </cell>
          <cell r="P21">
            <v>0.96619663332520123</v>
          </cell>
          <cell r="Q21">
            <v>0.96666666666666667</v>
          </cell>
          <cell r="R21">
            <v>0.96643164999593401</v>
          </cell>
          <cell r="S21">
            <v>0.96556666666666668</v>
          </cell>
          <cell r="T21">
            <v>0.97099999999999997</v>
          </cell>
          <cell r="U21">
            <v>0.96828333333333338</v>
          </cell>
        </row>
        <row r="22">
          <cell r="A22" t="str">
            <v>Digital Usage - Reactive (&gt;=78%)</v>
          </cell>
          <cell r="J22">
            <v>0.82306140160349639</v>
          </cell>
          <cell r="K22">
            <v>0.76435640502025848</v>
          </cell>
          <cell r="L22">
            <v>0.79370890331187738</v>
          </cell>
          <cell r="M22">
            <v>0.75666666666666671</v>
          </cell>
          <cell r="N22">
            <v>0.75666666666666671</v>
          </cell>
          <cell r="O22">
            <v>0.75666666666666671</v>
          </cell>
          <cell r="P22">
            <v>0.76333333333333331</v>
          </cell>
          <cell r="Q22">
            <v>0.78799999999999992</v>
          </cell>
          <cell r="R22">
            <v>0.77566666666666662</v>
          </cell>
          <cell r="S22">
            <v>0.77326835016835016</v>
          </cell>
          <cell r="T22">
            <v>0.78166666666666673</v>
          </cell>
          <cell r="U22">
            <v>0.77746750841750845</v>
          </cell>
        </row>
        <row r="23">
          <cell r="A23" t="str">
            <v>Zero Touch - Proactive (&gt;=42%)</v>
          </cell>
          <cell r="J23">
            <v>0.44389235431109103</v>
          </cell>
          <cell r="K23">
            <v>0.4087552656161853</v>
          </cell>
          <cell r="L23">
            <v>0.42632380996363817</v>
          </cell>
          <cell r="M23">
            <v>0.42333333333333334</v>
          </cell>
          <cell r="N23">
            <v>0.42666666666666669</v>
          </cell>
          <cell r="O23">
            <v>0.42500000000000004</v>
          </cell>
          <cell r="P23">
            <v>0.43333333333333335</v>
          </cell>
          <cell r="Q23">
            <v>0.45300000000000001</v>
          </cell>
          <cell r="R23">
            <v>0.44316666666666671</v>
          </cell>
          <cell r="S23">
            <v>0.40613039019129321</v>
          </cell>
          <cell r="T23">
            <v>0.42333333333333334</v>
          </cell>
          <cell r="U23">
            <v>0.41473186176231325</v>
          </cell>
        </row>
        <row r="24">
          <cell r="A24" t="str">
            <v>m-NPS (&gt;=8.1)</v>
          </cell>
          <cell r="J24">
            <v>8.4233333333333338</v>
          </cell>
          <cell r="K24">
            <v>8.49</v>
          </cell>
          <cell r="L24">
            <v>8.456666666666667</v>
          </cell>
          <cell r="M24">
            <v>8.4533333333333331</v>
          </cell>
          <cell r="N24">
            <v>8.69</v>
          </cell>
          <cell r="O24">
            <v>8.5716666666666654</v>
          </cell>
          <cell r="P24">
            <v>8.7933333333333348</v>
          </cell>
          <cell r="Q24">
            <v>8.6733333333333338</v>
          </cell>
          <cell r="R24">
            <v>8.7333333333333343</v>
          </cell>
          <cell r="S24">
            <v>8.9366666666666674</v>
          </cell>
          <cell r="T24">
            <v>8.9666666666666668</v>
          </cell>
          <cell r="U24">
            <v>8.951666666666668</v>
          </cell>
        </row>
        <row r="28">
          <cell r="A28" t="str">
            <v>Total volume</v>
          </cell>
          <cell r="J28">
            <v>52771</v>
          </cell>
          <cell r="K28">
            <v>59653</v>
          </cell>
          <cell r="L28">
            <v>112424</v>
          </cell>
          <cell r="M28">
            <v>54336</v>
          </cell>
          <cell r="N28">
            <v>64589</v>
          </cell>
          <cell r="O28">
            <v>118925</v>
          </cell>
          <cell r="P28">
            <v>53920</v>
          </cell>
          <cell r="Q28">
            <v>56865</v>
          </cell>
          <cell r="R28">
            <v>110785</v>
          </cell>
          <cell r="S28">
            <v>54023</v>
          </cell>
          <cell r="T28">
            <v>50315</v>
          </cell>
          <cell r="U28">
            <v>104338</v>
          </cell>
        </row>
        <row r="29">
          <cell r="A29" t="str">
            <v>Proactive</v>
          </cell>
          <cell r="J29">
            <v>33208</v>
          </cell>
          <cell r="K29">
            <v>36586</v>
          </cell>
          <cell r="L29">
            <v>69794</v>
          </cell>
          <cell r="M29">
            <v>31744</v>
          </cell>
          <cell r="N29">
            <v>41270</v>
          </cell>
          <cell r="O29">
            <v>73014</v>
          </cell>
          <cell r="P29">
            <v>32814</v>
          </cell>
          <cell r="Q29">
            <v>36417</v>
          </cell>
          <cell r="R29">
            <v>69231</v>
          </cell>
          <cell r="S29">
            <v>33293</v>
          </cell>
          <cell r="T29">
            <v>30564</v>
          </cell>
          <cell r="U29">
            <v>63857</v>
          </cell>
        </row>
        <row r="30">
          <cell r="A30" t="str">
            <v>Reactive</v>
          </cell>
          <cell r="J30">
            <v>19563</v>
          </cell>
          <cell r="K30">
            <v>23067</v>
          </cell>
          <cell r="L30">
            <v>42630</v>
          </cell>
          <cell r="M30">
            <v>22592</v>
          </cell>
          <cell r="N30">
            <v>23319</v>
          </cell>
          <cell r="O30">
            <v>45911</v>
          </cell>
          <cell r="P30">
            <v>21104</v>
          </cell>
          <cell r="Q30">
            <v>20448</v>
          </cell>
          <cell r="R30">
            <v>41552</v>
          </cell>
          <cell r="S30">
            <v>20194</v>
          </cell>
          <cell r="T30">
            <v>19751</v>
          </cell>
          <cell r="U30">
            <v>39945</v>
          </cell>
        </row>
        <row r="31">
          <cell r="A31" t="str">
            <v>SLA compliance (&gt;=86%)</v>
          </cell>
          <cell r="J31">
            <v>0.87700000000000011</v>
          </cell>
          <cell r="K31">
            <v>0.87700000000000011</v>
          </cell>
          <cell r="L31">
            <v>0.87700000000000011</v>
          </cell>
          <cell r="M31">
            <v>0.8687156119343723</v>
          </cell>
          <cell r="N31">
            <v>0.85140438504748228</v>
          </cell>
          <cell r="O31">
            <v>0.86005999849092729</v>
          </cell>
          <cell r="P31">
            <v>0.84560113142867432</v>
          </cell>
          <cell r="Q31">
            <v>0.8855554948259684</v>
          </cell>
          <cell r="R31">
            <v>0.86557831312732136</v>
          </cell>
          <cell r="S31">
            <v>0.82229999999999992</v>
          </cell>
          <cell r="T31">
            <v>0.90243333333333331</v>
          </cell>
          <cell r="U31">
            <v>0.86236666666666661</v>
          </cell>
        </row>
        <row r="32">
          <cell r="A32" t="str">
            <v>TTR/DMRET - P1/Service Interrompu (&lt;=480 mins)</v>
          </cell>
          <cell r="J32">
            <v>842.63656095091449</v>
          </cell>
          <cell r="K32">
            <v>524.50663029870759</v>
          </cell>
          <cell r="L32">
            <v>683.57159562481104</v>
          </cell>
          <cell r="M32">
            <v>535.19358166399513</v>
          </cell>
          <cell r="N32">
            <v>508.53528914115446</v>
          </cell>
          <cell r="O32">
            <v>521.86443540257483</v>
          </cell>
          <cell r="P32">
            <v>801.75023681483856</v>
          </cell>
          <cell r="Q32">
            <v>495.32442602842821</v>
          </cell>
          <cell r="R32">
            <v>648.53733142163333</v>
          </cell>
          <cell r="S32">
            <v>475.65235690222227</v>
          </cell>
          <cell r="T32">
            <v>333.55555555555554</v>
          </cell>
          <cell r="U32">
            <v>404.60395622888893</v>
          </cell>
        </row>
        <row r="33">
          <cell r="A33" t="str">
            <v>Autonomy (&gt;=80%)</v>
          </cell>
          <cell r="J33">
            <v>0.7858064089110548</v>
          </cell>
          <cell r="K33">
            <v>0.81967761454109489</v>
          </cell>
          <cell r="L33">
            <v>0.80274201172607484</v>
          </cell>
          <cell r="M33">
            <v>0.82499898875048105</v>
          </cell>
          <cell r="N33">
            <v>0.77821334421916821</v>
          </cell>
          <cell r="O33">
            <v>0.80160616648482463</v>
          </cell>
          <cell r="P33">
            <v>0.80579875802283907</v>
          </cell>
          <cell r="Q33">
            <v>0.8294666666666668</v>
          </cell>
          <cell r="R33">
            <v>0.81763271234475288</v>
          </cell>
          <cell r="S33">
            <v>0.82105555555555554</v>
          </cell>
          <cell r="T33">
            <v>0.77404166666666663</v>
          </cell>
          <cell r="U33">
            <v>0.79754861111111108</v>
          </cell>
        </row>
        <row r="34">
          <cell r="A34" t="str">
            <v>Digital Usage - Reactive (&gt;=65%)</v>
          </cell>
          <cell r="J34">
            <v>0.61690180014873808</v>
          </cell>
          <cell r="K34">
            <v>0.66455413414168263</v>
          </cell>
          <cell r="L34">
            <v>0.64072796714521041</v>
          </cell>
          <cell r="M34">
            <v>0.5941833333333334</v>
          </cell>
          <cell r="N34">
            <v>0.62634999999999996</v>
          </cell>
          <cell r="O34">
            <v>0.61026666666666673</v>
          </cell>
          <cell r="P34">
            <v>0.60665067368694225</v>
          </cell>
          <cell r="Q34">
            <v>0.58656358167912692</v>
          </cell>
          <cell r="R34">
            <v>0.59660712768303459</v>
          </cell>
          <cell r="S34">
            <v>0.55154026312361593</v>
          </cell>
          <cell r="T34">
            <v>0.5188297838481214</v>
          </cell>
          <cell r="U34">
            <v>0.53518502348586861</v>
          </cell>
        </row>
        <row r="35">
          <cell r="A35" t="str">
            <v>Zero Touch - Proactive (&gt;=32%)</v>
          </cell>
          <cell r="J35">
            <v>0.31485300358198159</v>
          </cell>
          <cell r="K35">
            <v>0.3062261303507039</v>
          </cell>
          <cell r="L35">
            <v>0.31053956696634277</v>
          </cell>
          <cell r="M35">
            <v>0.32</v>
          </cell>
          <cell r="N35">
            <v>0.29333333333333333</v>
          </cell>
          <cell r="O35">
            <v>0.30666666666666664</v>
          </cell>
          <cell r="P35">
            <v>0.3066666666666667</v>
          </cell>
          <cell r="Q35">
            <v>0.31081588335659993</v>
          </cell>
          <cell r="R35">
            <v>0.30874127501163329</v>
          </cell>
          <cell r="S35">
            <v>0.29553779760741611</v>
          </cell>
          <cell r="T35">
            <v>0.3048349317389174</v>
          </cell>
          <cell r="U35">
            <v>0.30018636467316673</v>
          </cell>
        </row>
        <row r="36">
          <cell r="A36" t="str">
            <v>m-NPS (&gt;=8.1)- All IOCS</v>
          </cell>
          <cell r="J36">
            <v>7.8593074674783834</v>
          </cell>
          <cell r="K36">
            <v>7.5550597665504498</v>
          </cell>
          <cell r="L36">
            <v>7.707183617014417</v>
          </cell>
          <cell r="M36">
            <v>7.6333333333333329</v>
          </cell>
          <cell r="N36">
            <v>7.5433333333333339</v>
          </cell>
          <cell r="O36">
            <v>7.5883333333333329</v>
          </cell>
          <cell r="P36">
            <v>7.78</v>
          </cell>
          <cell r="Q36">
            <v>7.9291666666666671</v>
          </cell>
          <cell r="R36">
            <v>7.8545833333333341</v>
          </cell>
          <cell r="S36">
            <v>7.7149999999999999</v>
          </cell>
          <cell r="T36">
            <v>8.3450000000000006</v>
          </cell>
          <cell r="U36">
            <v>8.0300000000000011</v>
          </cell>
        </row>
        <row r="41">
          <cell r="A41" t="str">
            <v>Total volume</v>
          </cell>
          <cell r="J41">
            <v>68773</v>
          </cell>
          <cell r="K41">
            <v>59327</v>
          </cell>
          <cell r="L41">
            <v>128100</v>
          </cell>
          <cell r="M41">
            <v>54462</v>
          </cell>
          <cell r="N41">
            <v>55652</v>
          </cell>
          <cell r="O41">
            <v>110114</v>
          </cell>
          <cell r="P41">
            <v>51074</v>
          </cell>
          <cell r="Q41">
            <v>63650</v>
          </cell>
          <cell r="R41">
            <v>114724</v>
          </cell>
          <cell r="S41">
            <v>69749</v>
          </cell>
          <cell r="T41">
            <v>61794</v>
          </cell>
          <cell r="U41">
            <v>131543</v>
          </cell>
        </row>
        <row r="42">
          <cell r="A42" t="str">
            <v>Proactive</v>
          </cell>
          <cell r="J42">
            <v>54300</v>
          </cell>
          <cell r="K42">
            <v>46842</v>
          </cell>
          <cell r="L42">
            <v>101142</v>
          </cell>
          <cell r="M42">
            <v>37798</v>
          </cell>
          <cell r="N42">
            <v>45587</v>
          </cell>
          <cell r="O42">
            <v>83385</v>
          </cell>
          <cell r="P42">
            <v>43484</v>
          </cell>
          <cell r="Q42">
            <v>51920</v>
          </cell>
          <cell r="R42">
            <v>95404</v>
          </cell>
          <cell r="S42">
            <v>56934</v>
          </cell>
          <cell r="T42">
            <v>46436</v>
          </cell>
          <cell r="U42">
            <v>103370</v>
          </cell>
        </row>
        <row r="43">
          <cell r="A43" t="str">
            <v>Reactive</v>
          </cell>
          <cell r="J43">
            <v>14473</v>
          </cell>
          <cell r="K43">
            <v>12485</v>
          </cell>
          <cell r="L43">
            <v>26958</v>
          </cell>
          <cell r="M43">
            <v>15115</v>
          </cell>
          <cell r="N43">
            <v>10308</v>
          </cell>
          <cell r="O43">
            <v>25423</v>
          </cell>
          <cell r="P43">
            <v>7749</v>
          </cell>
          <cell r="Q43">
            <v>9466</v>
          </cell>
          <cell r="R43">
            <v>17215</v>
          </cell>
          <cell r="S43">
            <v>13937</v>
          </cell>
          <cell r="T43">
            <v>14341</v>
          </cell>
          <cell r="U43">
            <v>28278</v>
          </cell>
        </row>
        <row r="44">
          <cell r="A44" t="str">
            <v>SLA compliance (&gt;=90%)</v>
          </cell>
          <cell r="J44">
            <v>0.88666666666666671</v>
          </cell>
          <cell r="K44">
            <v>0.89366666666666672</v>
          </cell>
          <cell r="L44">
            <v>0.89016666666666677</v>
          </cell>
          <cell r="M44">
            <v>0.91021666666666656</v>
          </cell>
          <cell r="N44">
            <v>0.90248333333333319</v>
          </cell>
          <cell r="O44">
            <v>0.90634999999999988</v>
          </cell>
          <cell r="P44">
            <v>0.90021954022988504</v>
          </cell>
          <cell r="Q44">
            <v>0.84768333333333334</v>
          </cell>
          <cell r="R44">
            <v>0.87395143678160925</v>
          </cell>
          <cell r="S44">
            <v>0.91600000000000004</v>
          </cell>
          <cell r="T44">
            <v>0.89290000000000003</v>
          </cell>
          <cell r="U44">
            <v>0.90444999999999998</v>
          </cell>
        </row>
        <row r="45">
          <cell r="A45" t="str">
            <v>TTR/DMRET - P1/Service Interrompu (&lt;=240 mins)</v>
          </cell>
          <cell r="J45">
            <v>506.65166666666664</v>
          </cell>
          <cell r="K45">
            <v>521.51833333333332</v>
          </cell>
          <cell r="L45">
            <v>514.08500000000004</v>
          </cell>
          <cell r="M45">
            <v>164.32666666666668</v>
          </cell>
          <cell r="N45">
            <v>249.60333333333335</v>
          </cell>
          <cell r="O45">
            <v>206.96500000000003</v>
          </cell>
          <cell r="P45">
            <v>143.41428571428571</v>
          </cell>
          <cell r="Q45">
            <v>210.5</v>
          </cell>
          <cell r="R45">
            <v>176.95714285714286</v>
          </cell>
          <cell r="S45">
            <v>217.5</v>
          </cell>
          <cell r="T45">
            <v>172.16666666666666</v>
          </cell>
          <cell r="U45">
            <v>194.83333333333331</v>
          </cell>
        </row>
        <row r="46">
          <cell r="A46" t="str">
            <v>Autonomy (&gt;=55%)</v>
          </cell>
          <cell r="J46">
            <v>0.47431666666666666</v>
          </cell>
          <cell r="K46">
            <v>0.47065000000000001</v>
          </cell>
          <cell r="L46">
            <v>0.47248333333333337</v>
          </cell>
          <cell r="M46">
            <v>0.38836666666666669</v>
          </cell>
          <cell r="N46">
            <v>0.46788333333333326</v>
          </cell>
          <cell r="O46">
            <v>0.42812499999999998</v>
          </cell>
          <cell r="P46">
            <v>0.52929685362517098</v>
          </cell>
          <cell r="Q46">
            <v>0.56999999999999995</v>
          </cell>
          <cell r="R46">
            <v>0.54964842681258541</v>
          </cell>
          <cell r="S46">
            <v>0.57999999999999996</v>
          </cell>
          <cell r="T46">
            <v>0.56666666666666665</v>
          </cell>
          <cell r="U46">
            <v>0.57333333333333325</v>
          </cell>
        </row>
        <row r="47">
          <cell r="A47" t="str">
            <v>Digital Usage - Reactive (&gt;=50%)</v>
          </cell>
          <cell r="J47">
            <v>0.59050000000000002</v>
          </cell>
          <cell r="K47">
            <v>0.56483333333333341</v>
          </cell>
          <cell r="L47">
            <v>0.57766666666666677</v>
          </cell>
          <cell r="M47">
            <v>0.55274999999999996</v>
          </cell>
          <cell r="N47">
            <v>0.30133333333333334</v>
          </cell>
          <cell r="O47">
            <v>0.42704166666666665</v>
          </cell>
          <cell r="P47">
            <v>0.30660833333333332</v>
          </cell>
          <cell r="Q47">
            <v>0.35446666666666665</v>
          </cell>
          <cell r="R47">
            <v>0.33053749999999998</v>
          </cell>
          <cell r="S47">
            <v>0.69333333333333336</v>
          </cell>
          <cell r="T47">
            <v>0.72000000000000008</v>
          </cell>
          <cell r="U47">
            <v>0.70666666666666678</v>
          </cell>
        </row>
        <row r="48">
          <cell r="A48" t="str">
            <v>Zero Touch - Proactive (&gt;=10%)</v>
          </cell>
          <cell r="J48">
            <v>0.16333333333333333</v>
          </cell>
          <cell r="K48">
            <v>0.25666666666666665</v>
          </cell>
          <cell r="L48">
            <v>0.21</v>
          </cell>
          <cell r="M48">
            <v>9.1700000000000004E-2</v>
          </cell>
          <cell r="N48">
            <v>6.9966666666666663E-2</v>
          </cell>
          <cell r="O48">
            <v>8.083333333333334E-2</v>
          </cell>
          <cell r="P48">
            <v>5.4368857985672148E-2</v>
          </cell>
          <cell r="Q48">
            <v>6.6666666666666666E-2</v>
          </cell>
          <cell r="R48">
            <v>6.0517762326169407E-2</v>
          </cell>
          <cell r="S48">
            <v>6.6666666666666666E-2</v>
          </cell>
          <cell r="T48">
            <v>0.03</v>
          </cell>
          <cell r="U48">
            <v>4.8333333333333332E-2</v>
          </cell>
        </row>
        <row r="49">
          <cell r="A49" t="str">
            <v>m-NPS (&gt;=8.1)</v>
          </cell>
          <cell r="L49">
            <v>7.9</v>
          </cell>
          <cell r="O49">
            <v>8.1999999999999993</v>
          </cell>
          <cell r="R49">
            <v>8.6</v>
          </cell>
          <cell r="U49">
            <v>8.4</v>
          </cell>
        </row>
        <row r="52">
          <cell r="A52" t="str">
            <v>Total volume</v>
          </cell>
          <cell r="J52">
            <v>87402</v>
          </cell>
          <cell r="K52">
            <v>96438</v>
          </cell>
          <cell r="L52">
            <v>183840</v>
          </cell>
          <cell r="M52">
            <v>87113</v>
          </cell>
          <cell r="N52">
            <v>84082</v>
          </cell>
          <cell r="O52">
            <v>171195</v>
          </cell>
          <cell r="P52">
            <v>84897</v>
          </cell>
          <cell r="Q52">
            <v>82822</v>
          </cell>
          <cell r="R52">
            <v>167719</v>
          </cell>
          <cell r="S52">
            <v>76833</v>
          </cell>
          <cell r="T52">
            <v>88798</v>
          </cell>
          <cell r="U52">
            <v>165631</v>
          </cell>
        </row>
        <row r="53">
          <cell r="A53" t="str">
            <v>Proactive</v>
          </cell>
          <cell r="J53">
            <v>73224</v>
          </cell>
          <cell r="K53">
            <v>78898</v>
          </cell>
          <cell r="L53">
            <v>152122</v>
          </cell>
          <cell r="M53">
            <v>68449</v>
          </cell>
          <cell r="N53">
            <v>63668</v>
          </cell>
          <cell r="O53">
            <v>132117</v>
          </cell>
          <cell r="P53">
            <v>59842</v>
          </cell>
          <cell r="Q53">
            <v>60455</v>
          </cell>
          <cell r="R53">
            <v>120297</v>
          </cell>
          <cell r="S53">
            <v>51917</v>
          </cell>
          <cell r="T53">
            <v>64902</v>
          </cell>
          <cell r="U53">
            <v>116819</v>
          </cell>
        </row>
        <row r="54">
          <cell r="A54" t="str">
            <v>Reactive</v>
          </cell>
          <cell r="J54">
            <v>14178</v>
          </cell>
          <cell r="K54">
            <v>17540</v>
          </cell>
          <cell r="L54">
            <v>31718</v>
          </cell>
          <cell r="M54">
            <v>18664</v>
          </cell>
          <cell r="N54">
            <v>20414</v>
          </cell>
          <cell r="O54">
            <v>39078</v>
          </cell>
          <cell r="P54">
            <v>25055</v>
          </cell>
          <cell r="Q54">
            <v>22367</v>
          </cell>
          <cell r="R54">
            <v>47422</v>
          </cell>
          <cell r="S54">
            <v>24916</v>
          </cell>
          <cell r="T54">
            <v>23896</v>
          </cell>
          <cell r="U54">
            <v>48812</v>
          </cell>
        </row>
        <row r="55">
          <cell r="A55" t="str">
            <v>SLA compliance (&gt;=87%)</v>
          </cell>
          <cell r="J55">
            <v>0.87</v>
          </cell>
          <cell r="K55">
            <v>0.86333333333333329</v>
          </cell>
          <cell r="L55">
            <v>0.8666666666666667</v>
          </cell>
          <cell r="M55">
            <v>0.86</v>
          </cell>
          <cell r="N55">
            <v>0.88666666666666671</v>
          </cell>
          <cell r="O55">
            <v>0.87333333333333329</v>
          </cell>
          <cell r="P55">
            <v>0.8833333333333333</v>
          </cell>
          <cell r="Q55">
            <v>0.90666666666666662</v>
          </cell>
          <cell r="R55">
            <v>0.89500000000000002</v>
          </cell>
          <cell r="S55">
            <v>0.93333333333333324</v>
          </cell>
          <cell r="T55">
            <v>0.8666666666666667</v>
          </cell>
          <cell r="U55">
            <v>0.89999999999999991</v>
          </cell>
        </row>
        <row r="56">
          <cell r="A56" t="str">
            <v>TTR/DMRET - P1/Service Interrompu (&lt;=240 mins)</v>
          </cell>
          <cell r="J56">
            <v>418</v>
          </cell>
          <cell r="K56">
            <v>244</v>
          </cell>
          <cell r="L56">
            <v>331</v>
          </cell>
          <cell r="M56">
            <v>223.66666666666666</v>
          </cell>
          <cell r="N56">
            <v>210.66666666666666</v>
          </cell>
          <cell r="O56">
            <v>217.16666666666666</v>
          </cell>
          <cell r="P56">
            <v>178.33333333333334</v>
          </cell>
          <cell r="Q56">
            <v>188</v>
          </cell>
          <cell r="R56">
            <v>183.16666666666669</v>
          </cell>
          <cell r="S56">
            <v>164.66666666666666</v>
          </cell>
          <cell r="T56">
            <v>105.66666666666667</v>
          </cell>
          <cell r="U56">
            <v>135.16666666666666</v>
          </cell>
        </row>
        <row r="57">
          <cell r="A57" t="str">
            <v>Autonomy (&gt;=60%)</v>
          </cell>
          <cell r="J57">
            <v>0.54333333333333333</v>
          </cell>
          <cell r="K57">
            <v>0.54666666666666663</v>
          </cell>
          <cell r="L57">
            <v>0.54499999999999993</v>
          </cell>
          <cell r="M57">
            <v>0.55666666666666675</v>
          </cell>
          <cell r="N57">
            <v>0.55666666666666664</v>
          </cell>
          <cell r="O57">
            <v>0.55666666666666664</v>
          </cell>
          <cell r="P57">
            <v>0.57999999999999996</v>
          </cell>
          <cell r="Q57">
            <v>0.6333333333333333</v>
          </cell>
          <cell r="R57">
            <v>0.60666666666666669</v>
          </cell>
          <cell r="S57">
            <v>0.63666666666666671</v>
          </cell>
          <cell r="T57">
            <v>0.66333333333333344</v>
          </cell>
          <cell r="U57">
            <v>0.65000000000000013</v>
          </cell>
        </row>
        <row r="58">
          <cell r="A58" t="str">
            <v>Digital Usage - Reactive (&gt;=70%)</v>
          </cell>
          <cell r="J58">
            <v>0.60333333333333339</v>
          </cell>
          <cell r="K58">
            <v>0.66666666666666663</v>
          </cell>
          <cell r="L58">
            <v>0.63500000000000001</v>
          </cell>
          <cell r="M58">
            <v>0.67333333333333334</v>
          </cell>
          <cell r="N58">
            <v>0.69666666666666666</v>
          </cell>
          <cell r="O58">
            <v>0.68500000000000005</v>
          </cell>
          <cell r="P58">
            <v>0.73683333333333323</v>
          </cell>
          <cell r="Q58">
            <v>0.72000000000000008</v>
          </cell>
          <cell r="R58">
            <v>0.72841666666666671</v>
          </cell>
          <cell r="S58">
            <v>0.69</v>
          </cell>
          <cell r="T58">
            <v>0.67333333333333334</v>
          </cell>
          <cell r="U58">
            <v>0.68166666666666664</v>
          </cell>
        </row>
        <row r="59">
          <cell r="A59" t="str">
            <v>Zero Touch - Proactive (&gt;=10%)</v>
          </cell>
          <cell r="J59">
            <v>6.6666666666666666E-2</v>
          </cell>
          <cell r="K59">
            <v>0.08</v>
          </cell>
          <cell r="L59">
            <v>7.3333333333333334E-2</v>
          </cell>
          <cell r="M59">
            <v>6.3333333333333339E-2</v>
          </cell>
          <cell r="N59">
            <v>6.3333333333333339E-2</v>
          </cell>
          <cell r="O59">
            <v>6.3333333333333339E-2</v>
          </cell>
          <cell r="P59">
            <v>7.8466666666666671E-2</v>
          </cell>
          <cell r="Q59">
            <v>0.10333333333333333</v>
          </cell>
          <cell r="R59">
            <v>9.0900000000000009E-2</v>
          </cell>
          <cell r="S59">
            <v>0.11333333333333333</v>
          </cell>
          <cell r="T59">
            <v>7.6666666666666675E-2</v>
          </cell>
          <cell r="U59">
            <v>9.5000000000000001E-2</v>
          </cell>
        </row>
        <row r="60">
          <cell r="A60" t="str">
            <v>m-NPS (&gt;=8.1)</v>
          </cell>
          <cell r="L60">
            <v>8</v>
          </cell>
          <cell r="O60">
            <v>8.3000000000000007</v>
          </cell>
          <cell r="R60">
            <v>8.5</v>
          </cell>
          <cell r="U60">
            <v>8.1</v>
          </cell>
        </row>
        <row r="63">
          <cell r="A63" t="str">
            <v>Total volume</v>
          </cell>
          <cell r="J63">
            <v>21698</v>
          </cell>
          <cell r="K63">
            <v>16633</v>
          </cell>
          <cell r="L63">
            <v>38331</v>
          </cell>
          <cell r="M63">
            <v>13720</v>
          </cell>
          <cell r="N63">
            <v>17423</v>
          </cell>
          <cell r="O63">
            <v>31143</v>
          </cell>
          <cell r="P63">
            <v>20966</v>
          </cell>
          <cell r="Q63">
            <v>18795</v>
          </cell>
          <cell r="R63">
            <v>39761</v>
          </cell>
          <cell r="S63">
            <v>17458</v>
          </cell>
          <cell r="T63">
            <v>19606</v>
          </cell>
          <cell r="U63">
            <v>37064</v>
          </cell>
        </row>
        <row r="64">
          <cell r="A64" t="str">
            <v>Proactive</v>
          </cell>
          <cell r="J64">
            <v>19362</v>
          </cell>
          <cell r="K64">
            <v>15212</v>
          </cell>
          <cell r="L64">
            <v>34574</v>
          </cell>
          <cell r="M64">
            <v>11815</v>
          </cell>
          <cell r="N64">
            <v>2737</v>
          </cell>
          <cell r="O64">
            <v>14552</v>
          </cell>
          <cell r="P64">
            <v>2779</v>
          </cell>
          <cell r="Q64">
            <v>5160</v>
          </cell>
          <cell r="R64">
            <v>7939</v>
          </cell>
          <cell r="S64">
            <v>5744</v>
          </cell>
          <cell r="T64">
            <v>7166</v>
          </cell>
          <cell r="U64">
            <v>12910</v>
          </cell>
        </row>
        <row r="65">
          <cell r="A65" t="str">
            <v>Reactive</v>
          </cell>
          <cell r="J65">
            <v>1436</v>
          </cell>
          <cell r="K65">
            <v>1421</v>
          </cell>
          <cell r="L65">
            <v>2857</v>
          </cell>
          <cell r="M65">
            <v>1902</v>
          </cell>
          <cell r="N65">
            <v>14686</v>
          </cell>
          <cell r="O65">
            <v>16588</v>
          </cell>
          <cell r="P65">
            <v>18187</v>
          </cell>
          <cell r="Q65">
            <v>13635</v>
          </cell>
          <cell r="R65">
            <v>31822</v>
          </cell>
          <cell r="S65">
            <v>11714</v>
          </cell>
          <cell r="T65">
            <v>12440</v>
          </cell>
          <cell r="U65">
            <v>24154</v>
          </cell>
        </row>
        <row r="66">
          <cell r="A66" t="str">
            <v>SLA compliance (&gt;=90%)</v>
          </cell>
          <cell r="J66">
            <v>0.86</v>
          </cell>
          <cell r="K66">
            <v>0.83333333333333337</v>
          </cell>
          <cell r="L66">
            <v>0.84666666666666668</v>
          </cell>
          <cell r="M66">
            <v>0.78666666666666663</v>
          </cell>
          <cell r="N66">
            <v>0.97333333333333327</v>
          </cell>
          <cell r="O66">
            <v>0.87999999999999989</v>
          </cell>
          <cell r="P66">
            <v>0.76666666666666661</v>
          </cell>
          <cell r="Q66">
            <v>0.91206436660982115</v>
          </cell>
          <cell r="R66">
            <v>0.83936551663824388</v>
          </cell>
          <cell r="S66">
            <v>0.95589532000933009</v>
          </cell>
          <cell r="T66">
            <v>0.97424667007426569</v>
          </cell>
          <cell r="U66">
            <v>0.96507099504179794</v>
          </cell>
        </row>
        <row r="67">
          <cell r="A67" t="str">
            <v>TTR/DMRET - P1/Service Interrompu (&lt;=240 mins)</v>
          </cell>
          <cell r="J67">
            <v>234.94634193000002</v>
          </cell>
          <cell r="K67">
            <v>722.05212439666673</v>
          </cell>
          <cell r="L67">
            <v>478.49923316333337</v>
          </cell>
          <cell r="M67">
            <v>225.98888890000001</v>
          </cell>
          <cell r="N67">
            <v>311.61111110000002</v>
          </cell>
          <cell r="O67">
            <v>268.8</v>
          </cell>
          <cell r="P67">
            <v>383.95833333333331</v>
          </cell>
          <cell r="Q67">
            <v>32.081262626262621</v>
          </cell>
          <cell r="R67">
            <v>208.01979797979797</v>
          </cell>
          <cell r="S67">
            <v>293.98095238095237</v>
          </cell>
          <cell r="T67">
            <v>579.61476190476196</v>
          </cell>
          <cell r="U67">
            <v>436.7978571428572</v>
          </cell>
        </row>
        <row r="68">
          <cell r="A68" t="str">
            <v>Autonomy (&gt;=80%)</v>
          </cell>
          <cell r="J68">
            <v>0.83122809333333336</v>
          </cell>
          <cell r="K68">
            <v>0.74948471066666666</v>
          </cell>
          <cell r="L68">
            <v>0.79035640200000001</v>
          </cell>
          <cell r="M68">
            <v>0.74955267800000003</v>
          </cell>
          <cell r="N68">
            <v>0.81333333333333335</v>
          </cell>
          <cell r="O68">
            <v>0.78144300566666669</v>
          </cell>
          <cell r="P68">
            <v>0.7507999591712432</v>
          </cell>
          <cell r="Q68">
            <v>0.83391799625278029</v>
          </cell>
          <cell r="R68">
            <v>0.79235897771201169</v>
          </cell>
          <cell r="S68">
            <v>0.82176942284079713</v>
          </cell>
          <cell r="T68">
            <v>0.85790904748908303</v>
          </cell>
          <cell r="U68">
            <v>0.83983923516494008</v>
          </cell>
        </row>
        <row r="69">
          <cell r="A69" t="str">
            <v>Digital Usage - Reactive (&gt;=90%)</v>
          </cell>
          <cell r="J69">
            <v>0.55000000000000004</v>
          </cell>
          <cell r="K69">
            <v>9.6666666666666665E-2</v>
          </cell>
          <cell r="L69">
            <v>0.32333333333333336</v>
          </cell>
          <cell r="M69">
            <v>0.64333333333333342</v>
          </cell>
          <cell r="N69">
            <v>0.91041210233333336</v>
          </cell>
          <cell r="O69">
            <v>0.77687271783333345</v>
          </cell>
          <cell r="P69">
            <v>0.93432386433458381</v>
          </cell>
          <cell r="Q69">
            <v>0.8965132035809954</v>
          </cell>
          <cell r="R69">
            <v>0.9154185339577896</v>
          </cell>
          <cell r="S69">
            <v>0.93340131165050089</v>
          </cell>
          <cell r="T69">
            <v>0.97675103420653631</v>
          </cell>
          <cell r="U69">
            <v>0.95507617292851865</v>
          </cell>
        </row>
        <row r="70">
          <cell r="A70" t="str">
            <v>Zero Touch - Proactive (&gt;=15%)</v>
          </cell>
          <cell r="J70">
            <v>0.14333333333333334</v>
          </cell>
          <cell r="K70">
            <v>0.11666666666666665</v>
          </cell>
          <cell r="L70">
            <v>0.13</v>
          </cell>
          <cell r="M70">
            <v>8.666666666666667E-2</v>
          </cell>
          <cell r="N70">
            <v>0.17666666666666667</v>
          </cell>
          <cell r="O70">
            <v>0.13166666666666665</v>
          </cell>
          <cell r="P70">
            <v>0.12635176256004624</v>
          </cell>
          <cell r="Q70">
            <v>0.21923257933696463</v>
          </cell>
          <cell r="R70">
            <v>0.17279217094850544</v>
          </cell>
          <cell r="S70">
            <v>9.8209977189176234E-2</v>
          </cell>
          <cell r="T70">
            <v>0.14756004321449348</v>
          </cell>
          <cell r="U70">
            <v>0.12288501020183486</v>
          </cell>
        </row>
        <row r="71">
          <cell r="A71" t="str">
            <v>m-NPS (&gt;=8.1)</v>
          </cell>
          <cell r="L71">
            <v>10</v>
          </cell>
          <cell r="O71">
            <v>8.4</v>
          </cell>
          <cell r="R71">
            <v>8.5</v>
          </cell>
          <cell r="U71">
            <v>8.1999999999999993</v>
          </cell>
        </row>
        <row r="74">
          <cell r="A74" t="str">
            <v>Total Actions</v>
          </cell>
          <cell r="J74">
            <v>373842</v>
          </cell>
          <cell r="K74">
            <v>335606</v>
          </cell>
          <cell r="L74">
            <v>709448</v>
          </cell>
          <cell r="M74">
            <v>346393</v>
          </cell>
          <cell r="N74">
            <v>348421</v>
          </cell>
          <cell r="O74">
            <v>694814</v>
          </cell>
          <cell r="P74">
            <v>208833</v>
          </cell>
          <cell r="Q74">
            <v>172553</v>
          </cell>
          <cell r="R74">
            <v>381386</v>
          </cell>
          <cell r="S74">
            <v>199518</v>
          </cell>
          <cell r="T74">
            <v>188981</v>
          </cell>
          <cell r="U74">
            <v>388499</v>
          </cell>
        </row>
        <row r="75">
          <cell r="A75" t="str">
            <v>Internal Processing (=TDI+TM)/total)</v>
          </cell>
          <cell r="J75">
            <v>0.24119681311359245</v>
          </cell>
          <cell r="K75">
            <v>0.21811356292429962</v>
          </cell>
          <cell r="L75">
            <v>0.22965518801894605</v>
          </cell>
          <cell r="M75">
            <v>0.21495412633847666</v>
          </cell>
          <cell r="N75">
            <v>0.22044536790857427</v>
          </cell>
          <cell r="O75">
            <v>0.21769974712352547</v>
          </cell>
          <cell r="P75">
            <v>0.23769999999999999</v>
          </cell>
          <cell r="Q75">
            <v>0.22383333333333333</v>
          </cell>
          <cell r="R75">
            <v>0.23076666666666665</v>
          </cell>
          <cell r="S75">
            <v>0.17316666666666669</v>
          </cell>
          <cell r="T75">
            <v>0.20816666666666669</v>
          </cell>
          <cell r="U75">
            <v>0.19066666666666668</v>
          </cell>
        </row>
        <row r="76">
          <cell r="A76" t="str">
            <v>NPS (Front Desk)</v>
          </cell>
          <cell r="J76">
            <v>8.3666666666666671</v>
          </cell>
          <cell r="K76">
            <v>15.74</v>
          </cell>
          <cell r="L76">
            <v>12.053333333333335</v>
          </cell>
          <cell r="M76">
            <v>25.853333333333335</v>
          </cell>
          <cell r="N76">
            <v>22.363333333333333</v>
          </cell>
          <cell r="O76">
            <v>24.108333333333334</v>
          </cell>
          <cell r="P76">
            <v>42</v>
          </cell>
          <cell r="Q76">
            <v>16.7</v>
          </cell>
          <cell r="R76">
            <v>29.349999999999998</v>
          </cell>
          <cell r="S76">
            <v>21.333333333333332</v>
          </cell>
          <cell r="T76">
            <v>18.533333333333331</v>
          </cell>
          <cell r="U76">
            <v>19.933333333333334</v>
          </cell>
        </row>
        <row r="77">
          <cell r="A77" t="str">
            <v>Digitalisation Rate</v>
          </cell>
          <cell r="J77">
            <v>0.75880318688640758</v>
          </cell>
          <cell r="K77">
            <v>0.78188643707570038</v>
          </cell>
          <cell r="L77">
            <v>0.77034481198105398</v>
          </cell>
          <cell r="M77">
            <v>0.78504587366152334</v>
          </cell>
          <cell r="N77">
            <v>0.77955463209142573</v>
          </cell>
          <cell r="O77">
            <v>0.78230025287647453</v>
          </cell>
          <cell r="P77">
            <v>0.76229999999999998</v>
          </cell>
          <cell r="Q77">
            <v>0.77616666666666667</v>
          </cell>
          <cell r="R77">
            <v>0.76923333333333332</v>
          </cell>
          <cell r="S77">
            <v>0.82683333333333331</v>
          </cell>
          <cell r="T77">
            <v>0.79183333333333328</v>
          </cell>
          <cell r="U77">
            <v>0.80933333333333335</v>
          </cell>
        </row>
        <row r="78">
          <cell r="A78" t="str">
            <v>% of mails handled &lt;24h (Voice / Data / IOT)</v>
          </cell>
          <cell r="J78">
            <v>0.84666666666666668</v>
          </cell>
          <cell r="K78">
            <v>0.81</v>
          </cell>
          <cell r="L78">
            <v>0.82833333333333348</v>
          </cell>
          <cell r="M78">
            <v>0.8833333333333333</v>
          </cell>
          <cell r="N78">
            <v>0.83550000000000002</v>
          </cell>
          <cell r="O78">
            <v>0.85941666666666672</v>
          </cell>
          <cell r="P78">
            <v>0.87666666666666659</v>
          </cell>
          <cell r="Q78">
            <v>0.88629999999999998</v>
          </cell>
          <cell r="R78">
            <v>0.88148333333333329</v>
          </cell>
          <cell r="S78">
            <v>0.89306666666666656</v>
          </cell>
          <cell r="T78">
            <v>0.90770000000000006</v>
          </cell>
          <cell r="U78">
            <v>0.9003833333333332</v>
          </cell>
        </row>
        <row r="79">
          <cell r="A79" t="str">
            <v xml:space="preserve">O2D (Order to delivery) Global </v>
          </cell>
          <cell r="J79">
            <v>2.4999999999999996</v>
          </cell>
          <cell r="K79">
            <v>2.2666666666666666</v>
          </cell>
          <cell r="L79">
            <v>2.3833333333333333</v>
          </cell>
          <cell r="M79">
            <v>1.9666666666666668</v>
          </cell>
          <cell r="N79">
            <v>1.85</v>
          </cell>
          <cell r="O79">
            <v>1.92</v>
          </cell>
          <cell r="P79">
            <v>1.9333333333333333</v>
          </cell>
          <cell r="Q79">
            <v>1.8666666666666665</v>
          </cell>
          <cell r="R79">
            <v>1.9000000000000001</v>
          </cell>
          <cell r="S79">
            <v>1.7666666666666666</v>
          </cell>
          <cell r="T79">
            <v>1.8333333333333333</v>
          </cell>
          <cell r="U79">
            <v>1.7999999999999998</v>
          </cell>
        </row>
      </sheetData>
      <sheetData sheetId="9">
        <row r="6">
          <cell r="AA6">
            <v>125526</v>
          </cell>
        </row>
      </sheetData>
      <sheetData sheetId="10">
        <row r="4">
          <cell r="N4">
            <v>21420</v>
          </cell>
        </row>
        <row r="12">
          <cell r="N12">
            <v>1565</v>
          </cell>
          <cell r="O12">
            <v>1299</v>
          </cell>
          <cell r="P12">
            <v>1799</v>
          </cell>
          <cell r="Q12">
            <v>1689</v>
          </cell>
          <cell r="R12">
            <v>1554</v>
          </cell>
          <cell r="S12">
            <v>2010</v>
          </cell>
          <cell r="T12">
            <v>1848</v>
          </cell>
          <cell r="U12">
            <v>2063</v>
          </cell>
          <cell r="V12">
            <v>1355</v>
          </cell>
          <cell r="W12">
            <v>1357</v>
          </cell>
          <cell r="X12">
            <v>1317</v>
          </cell>
          <cell r="Y12">
            <v>1542</v>
          </cell>
          <cell r="Z12">
            <v>8093</v>
          </cell>
          <cell r="AA12">
            <v>6934</v>
          </cell>
          <cell r="AB12">
            <v>6671</v>
          </cell>
          <cell r="AC12">
            <v>6814</v>
          </cell>
          <cell r="AD12">
            <v>8352</v>
          </cell>
          <cell r="AE12">
            <v>1467</v>
          </cell>
          <cell r="AF12">
            <v>3638</v>
          </cell>
          <cell r="AG12">
            <v>5688</v>
          </cell>
          <cell r="AH12">
            <v>4394</v>
          </cell>
          <cell r="AI12">
            <v>5724</v>
          </cell>
          <cell r="AJ12">
            <v>5543</v>
          </cell>
          <cell r="AK12">
            <v>6156</v>
          </cell>
          <cell r="AP12">
            <v>5988</v>
          </cell>
          <cell r="AQ12">
            <v>7205</v>
          </cell>
          <cell r="AR12">
            <v>7773</v>
          </cell>
          <cell r="AS12">
            <v>6890</v>
          </cell>
          <cell r="AT12">
            <v>5339</v>
          </cell>
          <cell r="AU12">
            <v>6566</v>
          </cell>
          <cell r="AV12">
            <v>6281</v>
          </cell>
          <cell r="AW12">
            <v>5019</v>
          </cell>
          <cell r="AX12">
            <v>6158</v>
          </cell>
          <cell r="AY12">
            <v>6413</v>
          </cell>
          <cell r="AZ12">
            <v>6755</v>
          </cell>
          <cell r="BA12">
            <v>6438</v>
          </cell>
          <cell r="BF12">
            <v>7119</v>
          </cell>
          <cell r="BG12">
            <v>7085</v>
          </cell>
        </row>
        <row r="13">
          <cell r="N13">
            <v>1125</v>
          </cell>
          <cell r="O13">
            <v>807</v>
          </cell>
          <cell r="P13">
            <v>1201</v>
          </cell>
          <cell r="Q13">
            <v>1292</v>
          </cell>
          <cell r="R13">
            <v>1135</v>
          </cell>
          <cell r="S13">
            <v>720</v>
          </cell>
          <cell r="T13">
            <v>819</v>
          </cell>
          <cell r="U13">
            <v>909</v>
          </cell>
          <cell r="V13">
            <v>897</v>
          </cell>
          <cell r="W13">
            <v>886</v>
          </cell>
          <cell r="X13">
            <v>859</v>
          </cell>
          <cell r="Y13">
            <v>748</v>
          </cell>
          <cell r="Z13">
            <v>7588</v>
          </cell>
          <cell r="AA13">
            <v>5584</v>
          </cell>
          <cell r="AB13">
            <v>6190</v>
          </cell>
          <cell r="AC13">
            <v>6296</v>
          </cell>
          <cell r="AD13">
            <v>7881</v>
          </cell>
          <cell r="AE13">
            <v>1035</v>
          </cell>
          <cell r="AF13">
            <v>2995</v>
          </cell>
          <cell r="AG13">
            <v>4917</v>
          </cell>
          <cell r="AH13">
            <v>3903</v>
          </cell>
          <cell r="AI13">
            <v>1035</v>
          </cell>
          <cell r="AJ13">
            <v>940</v>
          </cell>
          <cell r="AK13">
            <v>762</v>
          </cell>
          <cell r="AP13">
            <v>796</v>
          </cell>
          <cell r="AQ13">
            <v>892</v>
          </cell>
          <cell r="AR13">
            <v>1091</v>
          </cell>
          <cell r="AS13">
            <v>1944</v>
          </cell>
          <cell r="AT13">
            <v>997</v>
          </cell>
          <cell r="AU13">
            <v>2219</v>
          </cell>
          <cell r="AV13">
            <v>2001</v>
          </cell>
          <cell r="AW13">
            <v>1775</v>
          </cell>
          <cell r="AX13">
            <v>1968</v>
          </cell>
          <cell r="AY13">
            <v>2253</v>
          </cell>
          <cell r="AZ13">
            <v>2778</v>
          </cell>
          <cell r="BA13">
            <v>2135</v>
          </cell>
        </row>
        <row r="14">
          <cell r="N14">
            <v>440</v>
          </cell>
          <cell r="O14">
            <v>492</v>
          </cell>
          <cell r="P14">
            <v>598</v>
          </cell>
          <cell r="Q14">
            <v>397</v>
          </cell>
          <cell r="R14">
            <v>419</v>
          </cell>
          <cell r="S14">
            <v>1290</v>
          </cell>
          <cell r="T14">
            <v>1029</v>
          </cell>
          <cell r="U14">
            <v>1154</v>
          </cell>
          <cell r="V14">
            <v>458</v>
          </cell>
          <cell r="W14">
            <v>471</v>
          </cell>
          <cell r="X14">
            <v>458</v>
          </cell>
          <cell r="Y14">
            <v>794</v>
          </cell>
          <cell r="Z14">
            <v>505</v>
          </cell>
          <cell r="AA14">
            <v>450</v>
          </cell>
          <cell r="AB14">
            <v>481</v>
          </cell>
          <cell r="AC14">
            <v>518</v>
          </cell>
          <cell r="AD14">
            <v>471</v>
          </cell>
          <cell r="AE14">
            <v>432</v>
          </cell>
          <cell r="AF14">
            <v>643</v>
          </cell>
          <cell r="AG14">
            <v>768</v>
          </cell>
          <cell r="AH14">
            <v>491</v>
          </cell>
          <cell r="AI14">
            <v>4689</v>
          </cell>
          <cell r="AJ14">
            <v>4603</v>
          </cell>
          <cell r="AK14">
            <v>5394</v>
          </cell>
          <cell r="AP14">
            <v>5192</v>
          </cell>
          <cell r="AQ14">
            <v>6313</v>
          </cell>
          <cell r="AR14">
            <v>6682</v>
          </cell>
          <cell r="AS14">
            <v>4946</v>
          </cell>
          <cell r="AT14">
            <v>4342</v>
          </cell>
          <cell r="AU14">
            <v>4347</v>
          </cell>
          <cell r="AV14">
            <v>4280</v>
          </cell>
          <cell r="AW14">
            <v>3244</v>
          </cell>
          <cell r="AX14">
            <v>4190</v>
          </cell>
          <cell r="AY14">
            <v>4160</v>
          </cell>
          <cell r="AZ14">
            <v>3977</v>
          </cell>
          <cell r="BA14">
            <v>4303</v>
          </cell>
        </row>
        <row r="15">
          <cell r="N15">
            <v>35855</v>
          </cell>
          <cell r="O15">
            <v>35768</v>
          </cell>
          <cell r="P15">
            <v>37329</v>
          </cell>
          <cell r="Q15">
            <v>29552</v>
          </cell>
          <cell r="R15">
            <v>33628</v>
          </cell>
          <cell r="S15">
            <v>33640</v>
          </cell>
          <cell r="T15">
            <v>37446</v>
          </cell>
          <cell r="U15">
            <v>33122</v>
          </cell>
          <cell r="V15">
            <v>30357</v>
          </cell>
          <cell r="W15">
            <v>33915</v>
          </cell>
          <cell r="X15">
            <v>29804</v>
          </cell>
          <cell r="Y15">
            <v>29145</v>
          </cell>
          <cell r="Z15">
            <v>28903</v>
          </cell>
          <cell r="AA15">
            <v>28536</v>
          </cell>
          <cell r="AB15">
            <v>29963</v>
          </cell>
          <cell r="AC15">
            <v>29684</v>
          </cell>
          <cell r="AD15">
            <v>37540</v>
          </cell>
          <cell r="AE15">
            <v>29214</v>
          </cell>
          <cell r="AF15">
            <v>30048</v>
          </cell>
          <cell r="AG15">
            <v>28311</v>
          </cell>
          <cell r="AH15">
            <v>28754</v>
          </cell>
          <cell r="AI15">
            <v>29629</v>
          </cell>
          <cell r="AJ15">
            <v>29178</v>
          </cell>
          <cell r="AK15">
            <v>25275</v>
          </cell>
          <cell r="AP15">
            <v>24538</v>
          </cell>
          <cell r="AQ15">
            <v>32038</v>
          </cell>
          <cell r="AR15">
            <v>28321</v>
          </cell>
          <cell r="AS15">
            <v>29290</v>
          </cell>
          <cell r="AT15">
            <v>26425</v>
          </cell>
          <cell r="AU15">
            <v>27107</v>
          </cell>
          <cell r="AV15">
            <v>28257</v>
          </cell>
          <cell r="AW15">
            <v>22769</v>
          </cell>
          <cell r="AX15">
            <v>25807</v>
          </cell>
          <cell r="AY15">
            <v>32461</v>
          </cell>
          <cell r="AZ15">
            <v>29811</v>
          </cell>
          <cell r="BA15">
            <v>26526</v>
          </cell>
          <cell r="BF15">
            <v>26540</v>
          </cell>
          <cell r="BG15">
            <v>22673</v>
          </cell>
        </row>
        <row r="16">
          <cell r="N16">
            <v>28770</v>
          </cell>
          <cell r="O16">
            <v>27595</v>
          </cell>
          <cell r="P16">
            <v>29782</v>
          </cell>
          <cell r="Q16">
            <v>24594</v>
          </cell>
          <cell r="R16">
            <v>28584</v>
          </cell>
          <cell r="S16">
            <v>28375</v>
          </cell>
          <cell r="T16">
            <v>31459</v>
          </cell>
          <cell r="U16">
            <v>27887</v>
          </cell>
          <cell r="V16">
            <v>25585</v>
          </cell>
          <cell r="W16">
            <v>29070</v>
          </cell>
          <cell r="X16">
            <v>24766</v>
          </cell>
          <cell r="Y16">
            <v>24940</v>
          </cell>
          <cell r="Z16">
            <v>24389</v>
          </cell>
          <cell r="AA16">
            <v>23760</v>
          </cell>
          <cell r="AB16">
            <v>25075</v>
          </cell>
          <cell r="AC16">
            <v>24227</v>
          </cell>
          <cell r="AD16">
            <v>30834</v>
          </cell>
          <cell r="AE16">
            <v>23837</v>
          </cell>
          <cell r="AF16">
            <v>22774</v>
          </cell>
          <cell r="AG16">
            <v>22609</v>
          </cell>
          <cell r="AH16">
            <v>23066</v>
          </cell>
          <cell r="AI16">
            <v>22395</v>
          </cell>
          <cell r="AJ16">
            <v>22703</v>
          </cell>
          <cell r="AK16">
            <v>18570</v>
          </cell>
          <cell r="AP16">
            <v>19097</v>
          </cell>
          <cell r="AQ16">
            <v>22340</v>
          </cell>
          <cell r="AR16">
            <v>18405</v>
          </cell>
          <cell r="AS16">
            <v>21499</v>
          </cell>
          <cell r="AT16">
            <v>18301</v>
          </cell>
          <cell r="AU16">
            <v>20655</v>
          </cell>
          <cell r="AV16">
            <v>19403</v>
          </cell>
          <cell r="AW16">
            <v>15248</v>
          </cell>
          <cell r="AX16">
            <v>17266</v>
          </cell>
          <cell r="AY16">
            <v>22081</v>
          </cell>
          <cell r="AZ16">
            <v>21129</v>
          </cell>
          <cell r="BA16">
            <v>21692</v>
          </cell>
        </row>
        <row r="17">
          <cell r="N17">
            <v>7085</v>
          </cell>
          <cell r="O17">
            <v>8173</v>
          </cell>
          <cell r="P17">
            <v>7547</v>
          </cell>
          <cell r="Q17">
            <v>4958</v>
          </cell>
          <cell r="R17">
            <v>5044</v>
          </cell>
          <cell r="S17">
            <v>5265</v>
          </cell>
          <cell r="T17">
            <v>5987</v>
          </cell>
          <cell r="U17">
            <v>5235</v>
          </cell>
          <cell r="V17">
            <v>4772</v>
          </cell>
          <cell r="W17">
            <v>4845</v>
          </cell>
          <cell r="X17">
            <v>5038</v>
          </cell>
          <cell r="Y17">
            <v>4205</v>
          </cell>
          <cell r="Z17">
            <v>4514</v>
          </cell>
          <cell r="AA17">
            <v>4776</v>
          </cell>
          <cell r="AB17">
            <v>4888</v>
          </cell>
          <cell r="AC17">
            <v>5457</v>
          </cell>
          <cell r="AD17">
            <v>6706</v>
          </cell>
          <cell r="AE17">
            <v>5377</v>
          </cell>
          <cell r="AF17">
            <v>7274</v>
          </cell>
          <cell r="AG17">
            <v>5702</v>
          </cell>
          <cell r="AH17">
            <v>5688</v>
          </cell>
          <cell r="AI17">
            <v>7234</v>
          </cell>
          <cell r="AJ17">
            <v>6475</v>
          </cell>
          <cell r="AK17">
            <v>6705</v>
          </cell>
          <cell r="AP17">
            <v>5441</v>
          </cell>
          <cell r="AQ17">
            <v>9698</v>
          </cell>
          <cell r="AR17">
            <v>9916</v>
          </cell>
          <cell r="AS17">
            <v>7791</v>
          </cell>
          <cell r="AT17">
            <v>8124</v>
          </cell>
          <cell r="AU17">
            <v>6452</v>
          </cell>
          <cell r="AV17">
            <v>8854</v>
          </cell>
          <cell r="AW17">
            <v>7521</v>
          </cell>
          <cell r="AX17">
            <v>8541</v>
          </cell>
          <cell r="AY17">
            <v>10380</v>
          </cell>
          <cell r="AZ17">
            <v>8682</v>
          </cell>
          <cell r="BA17">
            <v>4834</v>
          </cell>
        </row>
        <row r="18">
          <cell r="N18">
            <v>22402</v>
          </cell>
          <cell r="O18">
            <v>22190</v>
          </cell>
          <cell r="P18">
            <v>23280</v>
          </cell>
          <cell r="Q18">
            <v>20193</v>
          </cell>
          <cell r="R18">
            <v>20879</v>
          </cell>
          <cell r="S18">
            <v>19718</v>
          </cell>
          <cell r="T18">
            <v>19828</v>
          </cell>
          <cell r="U18">
            <v>24592</v>
          </cell>
          <cell r="V18">
            <v>24256</v>
          </cell>
          <cell r="W18">
            <v>22044</v>
          </cell>
          <cell r="X18">
            <v>22150</v>
          </cell>
          <cell r="Y18">
            <v>21747</v>
          </cell>
          <cell r="Z18">
            <v>22512</v>
          </cell>
          <cell r="AA18">
            <v>24495</v>
          </cell>
          <cell r="AB18">
            <v>21766</v>
          </cell>
          <cell r="AC18">
            <v>19826</v>
          </cell>
          <cell r="AD18">
            <v>21737</v>
          </cell>
          <cell r="AE18">
            <v>17764</v>
          </cell>
          <cell r="AF18">
            <v>19414</v>
          </cell>
          <cell r="AG18">
            <v>17196</v>
          </cell>
          <cell r="AH18">
            <v>17852</v>
          </cell>
          <cell r="AI18">
            <v>17103</v>
          </cell>
          <cell r="AJ18">
            <v>19446</v>
          </cell>
          <cell r="AK18">
            <v>19103</v>
          </cell>
          <cell r="AP18">
            <v>16588</v>
          </cell>
          <cell r="AQ18">
            <v>15860</v>
          </cell>
          <cell r="AR18">
            <v>18626</v>
          </cell>
          <cell r="AS18">
            <v>19235</v>
          </cell>
          <cell r="AT18">
            <v>20113</v>
          </cell>
          <cell r="AU18">
            <v>24302</v>
          </cell>
          <cell r="AV18">
            <v>27279</v>
          </cell>
          <cell r="AW18">
            <v>19619</v>
          </cell>
          <cell r="AX18">
            <v>22851</v>
          </cell>
          <cell r="AY18">
            <v>21738</v>
          </cell>
          <cell r="AZ18">
            <v>20953</v>
          </cell>
          <cell r="BA18">
            <v>19103</v>
          </cell>
          <cell r="BF18">
            <v>19018</v>
          </cell>
          <cell r="BG18">
            <v>18766</v>
          </cell>
        </row>
        <row r="19">
          <cell r="N19">
            <v>18201</v>
          </cell>
          <cell r="O19">
            <v>17989</v>
          </cell>
          <cell r="P19">
            <v>18874</v>
          </cell>
          <cell r="Q19">
            <v>16325</v>
          </cell>
          <cell r="R19">
            <v>16719</v>
          </cell>
          <cell r="S19">
            <v>15419</v>
          </cell>
          <cell r="T19">
            <v>15706</v>
          </cell>
          <cell r="U19">
            <v>19400</v>
          </cell>
          <cell r="V19">
            <v>19119</v>
          </cell>
          <cell r="W19">
            <v>17703</v>
          </cell>
          <cell r="X19">
            <v>17525</v>
          </cell>
          <cell r="Y19">
            <v>18154</v>
          </cell>
          <cell r="Z19">
            <v>18876</v>
          </cell>
          <cell r="AA19">
            <v>18202</v>
          </cell>
          <cell r="AB19">
            <v>17222</v>
          </cell>
          <cell r="AC19">
            <v>15706</v>
          </cell>
          <cell r="AD19">
            <v>17314</v>
          </cell>
          <cell r="AE19">
            <v>13822</v>
          </cell>
          <cell r="AF19">
            <v>14924</v>
          </cell>
          <cell r="AG19">
            <v>9725</v>
          </cell>
          <cell r="AH19">
            <v>13149</v>
          </cell>
          <cell r="AI19">
            <v>14978</v>
          </cell>
          <cell r="AJ19">
            <v>15594</v>
          </cell>
          <cell r="AK19">
            <v>15015</v>
          </cell>
          <cell r="AP19">
            <v>14614</v>
          </cell>
          <cell r="AQ19">
            <v>12689</v>
          </cell>
          <cell r="AR19">
            <v>16181</v>
          </cell>
          <cell r="AS19">
            <v>16414</v>
          </cell>
          <cell r="AT19">
            <v>16544</v>
          </cell>
          <cell r="AU19">
            <v>18962</v>
          </cell>
          <cell r="AV19">
            <v>24152</v>
          </cell>
          <cell r="AW19">
            <v>15970</v>
          </cell>
          <cell r="AX19">
            <v>16812</v>
          </cell>
          <cell r="AY19">
            <v>15746</v>
          </cell>
          <cell r="AZ19">
            <v>15675</v>
          </cell>
          <cell r="BA19">
            <v>15015</v>
          </cell>
        </row>
        <row r="20">
          <cell r="N20">
            <v>4201</v>
          </cell>
          <cell r="O20">
            <v>4201</v>
          </cell>
          <cell r="P20">
            <v>4406</v>
          </cell>
          <cell r="Q20">
            <v>3868</v>
          </cell>
          <cell r="R20">
            <v>4160</v>
          </cell>
          <cell r="S20">
            <v>4299</v>
          </cell>
          <cell r="T20">
            <v>4122</v>
          </cell>
          <cell r="U20">
            <v>5192</v>
          </cell>
          <cell r="V20">
            <v>5137</v>
          </cell>
          <cell r="W20">
            <v>4341</v>
          </cell>
          <cell r="X20">
            <v>4625</v>
          </cell>
          <cell r="Y20">
            <v>3593</v>
          </cell>
          <cell r="Z20">
            <v>3636</v>
          </cell>
          <cell r="AA20">
            <v>6293</v>
          </cell>
          <cell r="AB20">
            <v>4544</v>
          </cell>
          <cell r="AC20">
            <v>4120</v>
          </cell>
          <cell r="AD20">
            <v>4423</v>
          </cell>
          <cell r="AE20">
            <v>3942</v>
          </cell>
          <cell r="AF20">
            <v>4490</v>
          </cell>
          <cell r="AG20">
            <v>7471</v>
          </cell>
          <cell r="AH20">
            <v>3154</v>
          </cell>
          <cell r="AI20">
            <v>3110</v>
          </cell>
          <cell r="AJ20">
            <v>3751</v>
          </cell>
          <cell r="AK20">
            <v>3447</v>
          </cell>
          <cell r="AP20">
            <v>1974</v>
          </cell>
          <cell r="AQ20">
            <v>3066</v>
          </cell>
          <cell r="AR20">
            <v>2709</v>
          </cell>
          <cell r="AS20">
            <v>2585</v>
          </cell>
          <cell r="AT20">
            <v>3289</v>
          </cell>
          <cell r="AU20">
            <v>3592</v>
          </cell>
          <cell r="AV20">
            <v>4374</v>
          </cell>
          <cell r="AW20">
            <v>3619</v>
          </cell>
          <cell r="AX20">
            <v>5944</v>
          </cell>
          <cell r="AY20">
            <v>5992</v>
          </cell>
          <cell r="AZ20">
            <v>4902</v>
          </cell>
          <cell r="BA20">
            <v>3447</v>
          </cell>
        </row>
        <row r="28">
          <cell r="N28">
            <v>0.875</v>
          </cell>
          <cell r="O28">
            <v>0.76470588235294112</v>
          </cell>
          <cell r="P28">
            <v>1</v>
          </cell>
          <cell r="Q28">
            <v>0.9375</v>
          </cell>
          <cell r="R28">
            <v>1</v>
          </cell>
          <cell r="S28">
            <v>0.92857142857142905</v>
          </cell>
          <cell r="T28">
            <v>0.7142857142857143</v>
          </cell>
          <cell r="U28">
            <v>0.5</v>
          </cell>
          <cell r="V28">
            <v>1</v>
          </cell>
          <cell r="W28">
            <v>1</v>
          </cell>
          <cell r="X28">
            <v>0.8666666666666667</v>
          </cell>
          <cell r="Y28">
            <v>1</v>
          </cell>
          <cell r="Z28">
            <v>0.75</v>
          </cell>
          <cell r="AA28">
            <v>1</v>
          </cell>
          <cell r="AB28">
            <v>0.83</v>
          </cell>
          <cell r="AC28">
            <v>1</v>
          </cell>
          <cell r="AD28">
            <v>1</v>
          </cell>
          <cell r="AE28">
            <v>0.5</v>
          </cell>
          <cell r="AF28">
            <v>0.67</v>
          </cell>
          <cell r="AG28">
            <v>0.86</v>
          </cell>
          <cell r="AH28">
            <v>0.83</v>
          </cell>
          <cell r="AI28">
            <v>0.92</v>
          </cell>
          <cell r="AJ28">
            <v>1</v>
          </cell>
          <cell r="AK28">
            <v>1</v>
          </cell>
          <cell r="AP28">
            <v>1</v>
          </cell>
          <cell r="AQ28">
            <v>0.8</v>
          </cell>
          <cell r="AR28">
            <v>0.5</v>
          </cell>
          <cell r="AS28">
            <v>0.8571428571428571</v>
          </cell>
          <cell r="AT28">
            <v>0.90476190476190477</v>
          </cell>
          <cell r="AU28">
            <v>0.9742883379247016</v>
          </cell>
          <cell r="AV28">
            <v>0.97441364605543712</v>
          </cell>
          <cell r="AW28">
            <v>0.98377455166524341</v>
          </cell>
          <cell r="AX28">
            <v>0.90949776230730983</v>
          </cell>
          <cell r="AY28">
            <v>0.94936708860759489</v>
          </cell>
          <cell r="AZ28">
            <v>0.98337292161520184</v>
          </cell>
          <cell r="BA28">
            <v>0.99</v>
          </cell>
        </row>
        <row r="31">
          <cell r="N31">
            <v>0.87</v>
          </cell>
          <cell r="O31">
            <v>0.85</v>
          </cell>
          <cell r="P31">
            <v>0.87</v>
          </cell>
          <cell r="Q31">
            <v>0.84</v>
          </cell>
          <cell r="R31">
            <v>0.8</v>
          </cell>
          <cell r="S31">
            <v>0.79</v>
          </cell>
          <cell r="T31">
            <v>0.78</v>
          </cell>
          <cell r="U31">
            <v>0.79</v>
          </cell>
          <cell r="V31">
            <v>0.85</v>
          </cell>
          <cell r="W31">
            <v>0.82</v>
          </cell>
          <cell r="X31">
            <v>0.87</v>
          </cell>
          <cell r="Y31">
            <v>0.84</v>
          </cell>
          <cell r="Z31">
            <v>0.86</v>
          </cell>
          <cell r="AA31">
            <v>0.87</v>
          </cell>
          <cell r="AB31">
            <v>0.88</v>
          </cell>
          <cell r="AC31">
            <v>0.85</v>
          </cell>
          <cell r="AD31">
            <v>0.86</v>
          </cell>
          <cell r="AE31">
            <v>0.88</v>
          </cell>
          <cell r="AF31">
            <v>0.86</v>
          </cell>
          <cell r="AG31">
            <v>0.85</v>
          </cell>
          <cell r="AH31">
            <v>0.87</v>
          </cell>
          <cell r="AI31">
            <v>0.86</v>
          </cell>
          <cell r="AJ31">
            <v>0.91</v>
          </cell>
          <cell r="AK31">
            <v>0.89</v>
          </cell>
          <cell r="AP31">
            <v>0.89</v>
          </cell>
          <cell r="AQ31">
            <v>0.85</v>
          </cell>
          <cell r="AR31">
            <v>0.91</v>
          </cell>
          <cell r="AS31">
            <v>0.87</v>
          </cell>
          <cell r="AT31">
            <v>0.91</v>
          </cell>
          <cell r="AU31">
            <v>0.94</v>
          </cell>
          <cell r="AV31">
            <v>0.95</v>
          </cell>
          <cell r="AW31">
            <v>0.93</v>
          </cell>
          <cell r="AX31">
            <v>0.92</v>
          </cell>
          <cell r="AY31">
            <v>0.86</v>
          </cell>
          <cell r="AZ31">
            <v>0.9</v>
          </cell>
          <cell r="BA31">
            <v>0.84</v>
          </cell>
        </row>
        <row r="34">
          <cell r="N34">
            <v>0.91490000000000005</v>
          </cell>
          <cell r="O34">
            <v>0.92989999999999995</v>
          </cell>
          <cell r="P34">
            <v>0.91220000000000001</v>
          </cell>
          <cell r="Q34">
            <v>0.89315</v>
          </cell>
          <cell r="R34">
            <v>0.92304999999999993</v>
          </cell>
          <cell r="S34">
            <v>0.88675000000000004</v>
          </cell>
          <cell r="T34">
            <v>0.94845000000000002</v>
          </cell>
          <cell r="U34">
            <v>0.94460000000000011</v>
          </cell>
          <cell r="V34">
            <v>0.96699999999999997</v>
          </cell>
          <cell r="W34">
            <v>0.93209999999999993</v>
          </cell>
          <cell r="X34">
            <v>0.90629999999999999</v>
          </cell>
          <cell r="Y34">
            <v>0.90884999999999994</v>
          </cell>
          <cell r="Z34">
            <v>0.88800000000000001</v>
          </cell>
          <cell r="AA34">
            <v>0.88300000000000001</v>
          </cell>
          <cell r="AB34">
            <v>0.88900000000000001</v>
          </cell>
          <cell r="AC34">
            <v>0.85350000000000004</v>
          </cell>
          <cell r="AD34">
            <v>0.87650000000000006</v>
          </cell>
          <cell r="AE34">
            <v>0.95100000000000007</v>
          </cell>
          <cell r="AF34">
            <v>0.89</v>
          </cell>
          <cell r="AG34">
            <v>0.92514999999999992</v>
          </cell>
          <cell r="AH34">
            <v>0.91549999999999998</v>
          </cell>
          <cell r="AI34">
            <v>0.87044999999999995</v>
          </cell>
          <cell r="AJ34">
            <v>0.90569999999999995</v>
          </cell>
          <cell r="AK34">
            <v>0.93130000000000002</v>
          </cell>
          <cell r="AP34">
            <v>0.90200862068965515</v>
          </cell>
          <cell r="AQ34">
            <v>0.91864999999999997</v>
          </cell>
          <cell r="AR34">
            <v>0.88</v>
          </cell>
          <cell r="AS34">
            <v>0.83260000000000001</v>
          </cell>
          <cell r="AT34">
            <v>0.87440000000000007</v>
          </cell>
          <cell r="AU34">
            <v>0.83604999999999996</v>
          </cell>
          <cell r="AV34">
            <v>0.875</v>
          </cell>
          <cell r="AW34">
            <v>0.93500000000000005</v>
          </cell>
          <cell r="AX34">
            <v>0.93799999999999994</v>
          </cell>
          <cell r="AY34">
            <v>0.88</v>
          </cell>
          <cell r="AZ34">
            <v>0.86870000000000003</v>
          </cell>
          <cell r="BA34">
            <v>0.92999999999999994</v>
          </cell>
        </row>
        <row r="44">
          <cell r="N44">
            <v>6.833333333333333</v>
          </cell>
          <cell r="O44">
            <v>130.88888888888889</v>
          </cell>
          <cell r="P44">
            <v>42954.666666666664</v>
          </cell>
          <cell r="Q44">
            <v>77.818181818181813</v>
          </cell>
          <cell r="R44">
            <v>15.714285714285714</v>
          </cell>
          <cell r="S44">
            <v>53.142857142857146</v>
          </cell>
          <cell r="T44">
            <v>24.333333333333332</v>
          </cell>
          <cell r="U44">
            <v>5.8</v>
          </cell>
          <cell r="V44">
            <v>22.166666666666668</v>
          </cell>
          <cell r="W44">
            <v>17.2</v>
          </cell>
          <cell r="X44">
            <v>13.75</v>
          </cell>
          <cell r="Y44">
            <v>62</v>
          </cell>
          <cell r="Z44">
            <v>109.4324324</v>
          </cell>
          <cell r="AA44">
            <v>44.69230769</v>
          </cell>
          <cell r="AB44">
            <v>550.7142857</v>
          </cell>
          <cell r="AC44">
            <v>135.64179100000001</v>
          </cell>
          <cell r="AD44">
            <v>1960.9178079999999</v>
          </cell>
          <cell r="AE44">
            <v>69.596774190000005</v>
          </cell>
          <cell r="AF44">
            <v>376</v>
          </cell>
          <cell r="AG44">
            <v>127.66666669999999</v>
          </cell>
          <cell r="AH44">
            <v>174.3</v>
          </cell>
          <cell r="AI44">
            <v>489</v>
          </cell>
          <cell r="AJ44">
            <v>305.83333329999999</v>
          </cell>
          <cell r="AK44">
            <v>140</v>
          </cell>
          <cell r="AP44">
            <v>556</v>
          </cell>
          <cell r="AQ44">
            <v>524</v>
          </cell>
          <cell r="AR44">
            <v>71.875</v>
          </cell>
          <cell r="AS44">
            <v>32.866666666666667</v>
          </cell>
          <cell r="AT44">
            <v>53.545454545454547</v>
          </cell>
          <cell r="AU44">
            <v>9.8316666666666652</v>
          </cell>
          <cell r="AV44">
            <v>646</v>
          </cell>
          <cell r="AW44">
            <v>0.8</v>
          </cell>
          <cell r="AX44">
            <v>235.14285714285714</v>
          </cell>
          <cell r="AY44">
            <v>595.25</v>
          </cell>
          <cell r="AZ44">
            <v>118.71428571428572</v>
          </cell>
          <cell r="BA44">
            <v>1024.8800000000001</v>
          </cell>
        </row>
        <row r="47">
          <cell r="N47">
            <v>314</v>
          </cell>
          <cell r="O47">
            <v>269</v>
          </cell>
          <cell r="P47">
            <v>721</v>
          </cell>
          <cell r="Q47">
            <v>307</v>
          </cell>
          <cell r="R47">
            <v>774</v>
          </cell>
          <cell r="S47">
            <v>259</v>
          </cell>
          <cell r="T47">
            <v>456</v>
          </cell>
          <cell r="U47">
            <v>1563</v>
          </cell>
          <cell r="V47">
            <v>568</v>
          </cell>
          <cell r="W47">
            <v>291</v>
          </cell>
          <cell r="X47">
            <v>354</v>
          </cell>
          <cell r="Y47">
            <v>225</v>
          </cell>
          <cell r="Z47">
            <v>348</v>
          </cell>
          <cell r="AA47">
            <v>371</v>
          </cell>
          <cell r="AB47">
            <v>535</v>
          </cell>
          <cell r="AC47">
            <v>307</v>
          </cell>
          <cell r="AD47">
            <v>246</v>
          </cell>
          <cell r="AE47">
            <v>179</v>
          </cell>
          <cell r="AF47">
            <v>229</v>
          </cell>
          <cell r="AG47">
            <v>233</v>
          </cell>
          <cell r="AH47">
            <v>209</v>
          </cell>
          <cell r="AI47">
            <v>232</v>
          </cell>
          <cell r="AJ47">
            <v>164</v>
          </cell>
          <cell r="AK47">
            <v>236</v>
          </cell>
          <cell r="AP47">
            <v>188</v>
          </cell>
          <cell r="AQ47">
            <v>177</v>
          </cell>
          <cell r="AR47">
            <v>170</v>
          </cell>
          <cell r="AS47">
            <v>164</v>
          </cell>
          <cell r="AT47">
            <v>144</v>
          </cell>
          <cell r="AU47">
            <v>256</v>
          </cell>
          <cell r="AV47">
            <v>210</v>
          </cell>
          <cell r="AW47">
            <v>199</v>
          </cell>
          <cell r="AX47">
            <v>85</v>
          </cell>
          <cell r="AY47">
            <v>152</v>
          </cell>
          <cell r="AZ47">
            <v>96</v>
          </cell>
          <cell r="BA47">
            <v>69</v>
          </cell>
        </row>
        <row r="50">
          <cell r="N50">
            <v>1082.0050000000001</v>
          </cell>
          <cell r="O50">
            <v>1016.7</v>
          </cell>
          <cell r="P50">
            <v>708.71500000000003</v>
          </cell>
          <cell r="Q50">
            <v>945.81</v>
          </cell>
          <cell r="R50">
            <v>666.57500000000005</v>
          </cell>
          <cell r="S50">
            <v>561.77</v>
          </cell>
          <cell r="T50">
            <v>490.93</v>
          </cell>
          <cell r="U50">
            <v>826.78500000000008</v>
          </cell>
          <cell r="V50">
            <v>459.5</v>
          </cell>
          <cell r="W50">
            <v>687.80499999999995</v>
          </cell>
          <cell r="X50">
            <v>397.02</v>
          </cell>
          <cell r="Y50">
            <v>343.41500000000002</v>
          </cell>
          <cell r="Z50">
            <v>397.08499999999998</v>
          </cell>
          <cell r="AA50">
            <v>227.07499999999999</v>
          </cell>
          <cell r="AB50">
            <v>895.79499999999996</v>
          </cell>
          <cell r="AC50">
            <v>703.28</v>
          </cell>
          <cell r="AD50">
            <v>316.74</v>
          </cell>
          <cell r="AE50">
            <v>544.53500000000008</v>
          </cell>
          <cell r="AF50">
            <v>224.73</v>
          </cell>
          <cell r="AG50">
            <v>152.48000000000002</v>
          </cell>
          <cell r="AH50">
            <v>115.77000000000001</v>
          </cell>
          <cell r="AI50">
            <v>488.41</v>
          </cell>
          <cell r="AJ50">
            <v>141.42000000000002</v>
          </cell>
          <cell r="AK50">
            <v>118.98</v>
          </cell>
          <cell r="AP50">
            <v>165.74285714285713</v>
          </cell>
          <cell r="AQ50">
            <v>153</v>
          </cell>
          <cell r="AR50">
            <v>111.5</v>
          </cell>
          <cell r="AS50">
            <v>171</v>
          </cell>
          <cell r="AT50">
            <v>153</v>
          </cell>
          <cell r="AU50">
            <v>307.5</v>
          </cell>
          <cell r="AV50">
            <v>250</v>
          </cell>
          <cell r="AW50">
            <v>227</v>
          </cell>
          <cell r="AX50">
            <v>175.5</v>
          </cell>
          <cell r="AY50">
            <v>232.5</v>
          </cell>
          <cell r="AZ50">
            <v>138.5</v>
          </cell>
          <cell r="BA50">
            <v>145.5</v>
          </cell>
        </row>
        <row r="56">
          <cell r="N56">
            <v>9.1160220994475141E-2</v>
          </cell>
          <cell r="O56">
            <v>2.8688524590163935E-2</v>
          </cell>
          <cell r="P56">
            <v>2.6865671641791045E-2</v>
          </cell>
          <cell r="Q56">
            <v>9.110169491525423E-2</v>
          </cell>
          <cell r="R56">
            <v>2.2364217252396165E-2</v>
          </cell>
          <cell r="S56">
            <v>2.9962546816479401E-2</v>
          </cell>
          <cell r="T56">
            <v>0.11081794195250659</v>
          </cell>
          <cell r="U56">
            <v>9.3457943925233641E-2</v>
          </cell>
          <cell r="V56">
            <v>8.4415584415584416E-2</v>
          </cell>
          <cell r="W56">
            <v>0.42286751361161523</v>
          </cell>
          <cell r="X56">
            <v>0.2</v>
          </cell>
          <cell r="Y56">
            <v>0.11853448275862069</v>
          </cell>
          <cell r="Z56">
            <v>0.1</v>
          </cell>
          <cell r="AA56">
            <v>0.11</v>
          </cell>
          <cell r="AB56">
            <v>0.22</v>
          </cell>
          <cell r="AC56">
            <v>0.16</v>
          </cell>
          <cell r="AD56">
            <v>0.08</v>
          </cell>
          <cell r="AE56">
            <v>0.11</v>
          </cell>
          <cell r="AF56">
            <v>0.13</v>
          </cell>
          <cell r="AG56">
            <v>0.08</v>
          </cell>
          <cell r="AH56">
            <v>0.05</v>
          </cell>
          <cell r="AI56">
            <v>0.21</v>
          </cell>
          <cell r="AJ56">
            <v>0.16</v>
          </cell>
          <cell r="AK56">
            <v>0.16</v>
          </cell>
          <cell r="AP56">
            <v>0.13</v>
          </cell>
          <cell r="AQ56">
            <v>0.11079545454545454</v>
          </cell>
          <cell r="AR56">
            <v>0.13825983313468415</v>
          </cell>
          <cell r="AS56">
            <v>0.33971902937420179</v>
          </cell>
          <cell r="AT56">
            <v>0.13825983313468415</v>
          </cell>
          <cell r="AU56">
            <v>0.17971887550200802</v>
          </cell>
          <cell r="AV56">
            <v>7.8549848942598186E-2</v>
          </cell>
          <cell r="AW56">
            <v>7.6829268292682926E-2</v>
          </cell>
          <cell r="AX56">
            <v>0.13925081433224756</v>
          </cell>
          <cell r="AY56">
            <v>0.12172774869109948</v>
          </cell>
          <cell r="AZ56">
            <v>0.20095238095238097</v>
          </cell>
          <cell r="BA56">
            <v>0.12</v>
          </cell>
        </row>
        <row r="57">
          <cell r="N57">
            <v>0.08</v>
          </cell>
          <cell r="O57">
            <v>0.08</v>
          </cell>
          <cell r="P57">
            <v>7.0000000000000007E-2</v>
          </cell>
          <cell r="Q57">
            <v>0.05</v>
          </cell>
          <cell r="R57">
            <v>0.02</v>
          </cell>
          <cell r="S57">
            <v>0.02</v>
          </cell>
          <cell r="T57">
            <v>0.05</v>
          </cell>
          <cell r="U57">
            <v>0.1</v>
          </cell>
          <cell r="V57">
            <v>7.0000000000000007E-2</v>
          </cell>
          <cell r="W57">
            <v>7.0000000000000007E-2</v>
          </cell>
          <cell r="X57">
            <v>0.06</v>
          </cell>
          <cell r="Y57">
            <v>0.06</v>
          </cell>
          <cell r="Z57">
            <v>7.0000000000000007E-2</v>
          </cell>
          <cell r="AA57">
            <v>0.05</v>
          </cell>
          <cell r="AB57">
            <v>0.08</v>
          </cell>
          <cell r="AC57">
            <v>0.09</v>
          </cell>
          <cell r="AD57">
            <v>0.08</v>
          </cell>
          <cell r="AE57">
            <v>7.0000000000000007E-2</v>
          </cell>
          <cell r="AF57">
            <v>7.0000000000000007E-2</v>
          </cell>
          <cell r="AG57">
            <v>0.06</v>
          </cell>
          <cell r="AH57">
            <v>0.06</v>
          </cell>
          <cell r="AI57">
            <v>0.06</v>
          </cell>
          <cell r="AJ57">
            <v>7.0000000000000007E-2</v>
          </cell>
          <cell r="AK57">
            <v>0.06</v>
          </cell>
          <cell r="AP57">
            <v>0.11</v>
          </cell>
          <cell r="AQ57">
            <v>0.04</v>
          </cell>
          <cell r="AR57">
            <v>8.5400000000000004E-2</v>
          </cell>
          <cell r="AS57">
            <v>0.15</v>
          </cell>
          <cell r="AT57">
            <v>0.1</v>
          </cell>
          <cell r="AU57">
            <v>0.06</v>
          </cell>
          <cell r="AV57">
            <v>0.06</v>
          </cell>
          <cell r="AW57">
            <v>7.0000000000000007E-2</v>
          </cell>
          <cell r="AX57">
            <v>0.21</v>
          </cell>
          <cell r="AY57">
            <v>0.06</v>
          </cell>
          <cell r="AZ57">
            <v>0.08</v>
          </cell>
          <cell r="BA57">
            <v>0.09</v>
          </cell>
        </row>
        <row r="58">
          <cell r="N58">
            <v>0.16</v>
          </cell>
          <cell r="O58">
            <v>0.11</v>
          </cell>
          <cell r="P58">
            <v>0.1</v>
          </cell>
          <cell r="Q58">
            <v>0.28000000000000003</v>
          </cell>
          <cell r="R58">
            <v>0.2</v>
          </cell>
          <cell r="S58">
            <v>0.17</v>
          </cell>
          <cell r="T58">
            <v>0.1</v>
          </cell>
          <cell r="U58">
            <v>0.18</v>
          </cell>
          <cell r="V58">
            <v>0.19</v>
          </cell>
          <cell r="W58">
            <v>0.15</v>
          </cell>
          <cell r="X58">
            <v>0.19</v>
          </cell>
          <cell r="Y58">
            <v>0.17</v>
          </cell>
          <cell r="Z58">
            <v>0.24</v>
          </cell>
          <cell r="AA58">
            <v>0.16</v>
          </cell>
          <cell r="AB58">
            <v>0.09</v>
          </cell>
          <cell r="AC58">
            <v>0.15</v>
          </cell>
          <cell r="AD58">
            <v>0.52</v>
          </cell>
          <cell r="AE58">
            <v>0.1</v>
          </cell>
          <cell r="AF58">
            <v>0.1</v>
          </cell>
          <cell r="AG58">
            <v>0.1</v>
          </cell>
          <cell r="AH58">
            <v>7.51E-2</v>
          </cell>
          <cell r="AI58">
            <v>0.1229</v>
          </cell>
          <cell r="AJ58">
            <v>7.6999999999999999E-2</v>
          </cell>
          <cell r="AK58">
            <v>0.01</v>
          </cell>
          <cell r="AP58">
            <v>8.2806573957016433E-2</v>
          </cell>
          <cell r="AQ58">
            <v>4.0300000000000002E-2</v>
          </cell>
          <cell r="AR58">
            <v>0.04</v>
          </cell>
          <cell r="AS58">
            <v>0.14000000000000001</v>
          </cell>
          <cell r="AT58">
            <v>0.03</v>
          </cell>
          <cell r="AU58">
            <v>0.03</v>
          </cell>
          <cell r="AV58">
            <v>0.1</v>
          </cell>
          <cell r="AW58">
            <v>0.02</v>
          </cell>
          <cell r="AX58">
            <v>0.08</v>
          </cell>
          <cell r="AY58">
            <v>0.04</v>
          </cell>
          <cell r="AZ58">
            <v>0.04</v>
          </cell>
          <cell r="BA58">
            <v>0.01</v>
          </cell>
        </row>
        <row r="62">
          <cell r="N62">
            <v>0.03</v>
          </cell>
          <cell r="O62">
            <v>0.12</v>
          </cell>
          <cell r="P62">
            <v>0.2</v>
          </cell>
          <cell r="Q62">
            <v>0.14000000000000001</v>
          </cell>
          <cell r="R62">
            <v>0.21</v>
          </cell>
          <cell r="S62">
            <v>0.81</v>
          </cell>
          <cell r="T62">
            <v>0.69</v>
          </cell>
          <cell r="U62">
            <v>0.72</v>
          </cell>
          <cell r="V62">
            <v>0.08</v>
          </cell>
          <cell r="W62">
            <v>0.19</v>
          </cell>
          <cell r="X62">
            <v>0.08</v>
          </cell>
          <cell r="Y62">
            <v>0.7</v>
          </cell>
          <cell r="Z62">
            <v>0.84</v>
          </cell>
          <cell r="AA62">
            <v>0.78</v>
          </cell>
          <cell r="AB62">
            <v>0.03</v>
          </cell>
          <cell r="AC62">
            <v>0.01</v>
          </cell>
          <cell r="AD62">
            <v>0.24</v>
          </cell>
          <cell r="AE62">
            <v>0.04</v>
          </cell>
          <cell r="AF62">
            <v>0.76</v>
          </cell>
          <cell r="AG62">
            <v>0.86</v>
          </cell>
          <cell r="AH62">
            <v>0.31</v>
          </cell>
          <cell r="AI62">
            <v>0.89123630700000001</v>
          </cell>
          <cell r="AJ62">
            <v>0.92</v>
          </cell>
          <cell r="AK62">
            <v>0.92</v>
          </cell>
          <cell r="AP62">
            <v>0.93335931410756046</v>
          </cell>
          <cell r="AQ62">
            <v>0.93156977665135432</v>
          </cell>
          <cell r="AR62">
            <v>0.93804250224483687</v>
          </cell>
          <cell r="AS62">
            <v>0.91285887585928027</v>
          </cell>
          <cell r="AT62">
            <v>0.90557346844771991</v>
          </cell>
          <cell r="AU62">
            <v>0.87110726643598613</v>
          </cell>
          <cell r="AV62">
            <v>0.99048877146631442</v>
          </cell>
          <cell r="AW62">
            <v>0.84727626459143968</v>
          </cell>
          <cell r="AX62">
            <v>0.96243889889374834</v>
          </cell>
          <cell r="AY62">
            <v>0.96855502869977539</v>
          </cell>
          <cell r="AZ62">
            <v>0.97969807391983343</v>
          </cell>
          <cell r="BA62">
            <v>0.98199999999999998</v>
          </cell>
        </row>
        <row r="63">
          <cell r="N63">
            <v>0.82</v>
          </cell>
          <cell r="O63">
            <v>0.84</v>
          </cell>
          <cell r="P63">
            <v>0.8</v>
          </cell>
          <cell r="Q63">
            <v>0.72</v>
          </cell>
          <cell r="R63">
            <v>0.67</v>
          </cell>
          <cell r="S63">
            <v>0.69</v>
          </cell>
          <cell r="T63">
            <v>0.69</v>
          </cell>
          <cell r="U63">
            <v>0.67</v>
          </cell>
          <cell r="V63">
            <v>0.62</v>
          </cell>
          <cell r="W63">
            <v>0.59</v>
          </cell>
          <cell r="X63">
            <v>0.64</v>
          </cell>
          <cell r="Y63">
            <v>0.62</v>
          </cell>
          <cell r="Z63">
            <v>0.61</v>
          </cell>
          <cell r="AA63">
            <v>0.64</v>
          </cell>
          <cell r="AB63">
            <v>0.56000000000000005</v>
          </cell>
          <cell r="AC63">
            <v>0.63</v>
          </cell>
          <cell r="AD63">
            <v>0.73</v>
          </cell>
          <cell r="AE63">
            <v>0.64</v>
          </cell>
          <cell r="AF63">
            <v>0.7</v>
          </cell>
          <cell r="AG63">
            <v>0.64</v>
          </cell>
          <cell r="AH63">
            <v>0.68</v>
          </cell>
          <cell r="AI63">
            <v>0.69</v>
          </cell>
          <cell r="AJ63">
            <v>0.68</v>
          </cell>
          <cell r="AK63">
            <v>0.72</v>
          </cell>
          <cell r="AP63">
            <v>0.65</v>
          </cell>
          <cell r="AQ63">
            <v>0.77</v>
          </cell>
          <cell r="AR63">
            <v>0.79049999999999998</v>
          </cell>
          <cell r="AS63">
            <v>0.73</v>
          </cell>
          <cell r="AT63">
            <v>0.75</v>
          </cell>
          <cell r="AU63">
            <v>0.68</v>
          </cell>
          <cell r="AV63">
            <v>0.65</v>
          </cell>
          <cell r="AW63">
            <v>0.69</v>
          </cell>
          <cell r="AX63">
            <v>0.73</v>
          </cell>
          <cell r="AY63">
            <v>0.66</v>
          </cell>
          <cell r="AZ63">
            <v>0.74</v>
          </cell>
          <cell r="BA63">
            <v>0.62</v>
          </cell>
        </row>
        <row r="64">
          <cell r="N64">
            <v>0.47499999999999998</v>
          </cell>
          <cell r="O64">
            <v>0.53800000000000003</v>
          </cell>
          <cell r="P64">
            <v>0.58650000000000002</v>
          </cell>
          <cell r="Q64">
            <v>0.53</v>
          </cell>
          <cell r="R64">
            <v>0.47250000000000003</v>
          </cell>
          <cell r="S64">
            <v>0.51250000000000007</v>
          </cell>
          <cell r="T64">
            <v>0.47450000000000003</v>
          </cell>
          <cell r="U64">
            <v>0.48699999999999999</v>
          </cell>
          <cell r="V64">
            <v>0.51249999999999996</v>
          </cell>
          <cell r="W64">
            <v>0.35700000000000004</v>
          </cell>
          <cell r="X64">
            <v>0.45150000000000001</v>
          </cell>
          <cell r="Y64">
            <v>0.41649999999999998</v>
          </cell>
          <cell r="Z64">
            <v>0.4425</v>
          </cell>
          <cell r="AA64">
            <v>0.77900000000000003</v>
          </cell>
          <cell r="AB64">
            <v>0.55000000000000004</v>
          </cell>
          <cell r="AC64">
            <v>0.53949999999999998</v>
          </cell>
          <cell r="AD64">
            <v>0.57899999999999996</v>
          </cell>
          <cell r="AE64">
            <v>0.57600000000000007</v>
          </cell>
          <cell r="AF64">
            <v>0.5625</v>
          </cell>
          <cell r="AG64">
            <v>0.52200000000000002</v>
          </cell>
          <cell r="AH64">
            <v>0.57374999999999998</v>
          </cell>
          <cell r="AI64">
            <v>0.38250000000000001</v>
          </cell>
          <cell r="AJ64">
            <v>0.23515</v>
          </cell>
          <cell r="AK64">
            <v>0.28634999999999999</v>
          </cell>
          <cell r="AP64">
            <v>0.33122499999999999</v>
          </cell>
          <cell r="AQ64">
            <v>0.31285000000000002</v>
          </cell>
          <cell r="AR64">
            <v>0.27575</v>
          </cell>
          <cell r="AS64">
            <v>0.34379999999999999</v>
          </cell>
          <cell r="AT64">
            <v>0.22900000000000001</v>
          </cell>
          <cell r="AU64">
            <v>0.49059999999999998</v>
          </cell>
          <cell r="AV64">
            <v>0.68</v>
          </cell>
          <cell r="AW64">
            <v>0.68</v>
          </cell>
          <cell r="AX64">
            <v>0.72</v>
          </cell>
          <cell r="AY64">
            <v>0.72</v>
          </cell>
          <cell r="AZ64">
            <v>0.72</v>
          </cell>
          <cell r="BA64">
            <v>0.72</v>
          </cell>
        </row>
        <row r="72">
          <cell r="N72">
            <v>0.87</v>
          </cell>
          <cell r="O72">
            <v>0.87</v>
          </cell>
          <cell r="P72">
            <v>0.81</v>
          </cell>
          <cell r="Q72">
            <v>0.86</v>
          </cell>
          <cell r="R72">
            <v>0.83</v>
          </cell>
          <cell r="S72">
            <v>0.84</v>
          </cell>
          <cell r="T72">
            <v>0.94</v>
          </cell>
          <cell r="U72">
            <v>0.92</v>
          </cell>
          <cell r="V72">
            <v>0.86</v>
          </cell>
          <cell r="W72">
            <v>0.88</v>
          </cell>
          <cell r="X72">
            <v>0.89</v>
          </cell>
          <cell r="Y72">
            <v>0.88</v>
          </cell>
          <cell r="Z72">
            <v>0.90988530899999998</v>
          </cell>
          <cell r="AA72">
            <v>0.85511044599999997</v>
          </cell>
          <cell r="AB72">
            <v>0.72868852500000003</v>
          </cell>
          <cell r="AC72">
            <v>0.76008492599999999</v>
          </cell>
          <cell r="AD72">
            <v>0.70201238399999999</v>
          </cell>
          <cell r="AE72">
            <v>0.78635682200000001</v>
          </cell>
          <cell r="AF72">
            <v>0.76</v>
          </cell>
          <cell r="AG72">
            <v>0.77</v>
          </cell>
          <cell r="AH72">
            <v>0.71865803399999995</v>
          </cell>
          <cell r="AI72">
            <v>0.82</v>
          </cell>
          <cell r="AJ72">
            <v>0.84</v>
          </cell>
          <cell r="AK72">
            <v>0.78</v>
          </cell>
          <cell r="AP72">
            <v>0.78986175115207369</v>
          </cell>
          <cell r="AQ72">
            <v>0.70179738562091498</v>
          </cell>
          <cell r="AR72">
            <v>0.76074074074074072</v>
          </cell>
          <cell r="AS72">
            <v>0.84827898550724634</v>
          </cell>
          <cell r="AT72">
            <v>0.81780366056572384</v>
          </cell>
          <cell r="AU72">
            <v>0.83567134268537069</v>
          </cell>
          <cell r="AV72">
            <v>0.8103141671606402</v>
          </cell>
          <cell r="AW72">
            <v>0.80879274249825495</v>
          </cell>
          <cell r="AX72">
            <v>0.84620135886349601</v>
          </cell>
          <cell r="AY72">
            <v>0.783203125</v>
          </cell>
          <cell r="AZ72">
            <v>0.92052401746724888</v>
          </cell>
          <cell r="BA72">
            <v>0.87</v>
          </cell>
        </row>
        <row r="75">
          <cell r="N75">
            <v>0.56000000000000005</v>
          </cell>
          <cell r="O75">
            <v>0.56999999999999995</v>
          </cell>
          <cell r="P75">
            <v>0.53</v>
          </cell>
          <cell r="Q75">
            <v>0.56000000000000005</v>
          </cell>
          <cell r="R75">
            <v>0.57999999999999996</v>
          </cell>
          <cell r="S75">
            <v>0.52</v>
          </cell>
          <cell r="T75">
            <v>0.54</v>
          </cell>
          <cell r="U75">
            <v>0.54</v>
          </cell>
          <cell r="V75">
            <v>0.54</v>
          </cell>
          <cell r="W75">
            <v>0.55000000000000004</v>
          </cell>
          <cell r="X75">
            <v>0.54</v>
          </cell>
          <cell r="Y75">
            <v>0.55000000000000004</v>
          </cell>
          <cell r="Z75">
            <v>0.56000000000000005</v>
          </cell>
          <cell r="AA75">
            <v>0.54</v>
          </cell>
          <cell r="AB75">
            <v>0.53</v>
          </cell>
          <cell r="AC75">
            <v>0.51</v>
          </cell>
          <cell r="AD75">
            <v>0.57999999999999996</v>
          </cell>
          <cell r="AE75">
            <v>0.55000000000000004</v>
          </cell>
          <cell r="AF75">
            <v>0.55000000000000004</v>
          </cell>
          <cell r="AG75">
            <v>0.56000000000000005</v>
          </cell>
          <cell r="AH75">
            <v>0.56000000000000005</v>
          </cell>
          <cell r="AI75">
            <v>0.51</v>
          </cell>
          <cell r="AJ75">
            <v>0.59</v>
          </cell>
          <cell r="AK75">
            <v>0.56999999999999995</v>
          </cell>
          <cell r="AP75">
            <v>0.59</v>
          </cell>
          <cell r="AQ75">
            <v>0.57999999999999996</v>
          </cell>
          <cell r="AR75">
            <v>0.56999999999999995</v>
          </cell>
          <cell r="AS75">
            <v>0.66</v>
          </cell>
          <cell r="AT75">
            <v>0.62</v>
          </cell>
          <cell r="AU75">
            <v>0.62</v>
          </cell>
          <cell r="AV75">
            <v>0.63</v>
          </cell>
          <cell r="AW75">
            <v>0.6</v>
          </cell>
          <cell r="AX75">
            <v>0.68</v>
          </cell>
          <cell r="AY75">
            <v>0.67</v>
          </cell>
          <cell r="AZ75">
            <v>0.68</v>
          </cell>
          <cell r="BA75">
            <v>0.64</v>
          </cell>
        </row>
        <row r="78">
          <cell r="N78">
            <v>0.47670000000000001</v>
          </cell>
          <cell r="O78">
            <v>0.4501</v>
          </cell>
          <cell r="P78">
            <v>0.44884999999999997</v>
          </cell>
          <cell r="Q78">
            <v>0.44864999999999999</v>
          </cell>
          <cell r="R78">
            <v>0.42010000000000003</v>
          </cell>
          <cell r="S78">
            <v>0.41865000000000002</v>
          </cell>
          <cell r="T78">
            <v>0.41830000000000001</v>
          </cell>
          <cell r="U78">
            <v>0.42625000000000002</v>
          </cell>
          <cell r="V78">
            <v>0.43475000000000003</v>
          </cell>
          <cell r="W78">
            <v>0.42505000000000004</v>
          </cell>
          <cell r="X78">
            <v>0.41589999999999999</v>
          </cell>
          <cell r="Y78">
            <v>0.46310000000000001</v>
          </cell>
          <cell r="Z78">
            <v>0.46804999999999997</v>
          </cell>
          <cell r="AA78">
            <v>0.49414999999999998</v>
          </cell>
          <cell r="AB78">
            <v>0.46074999999999999</v>
          </cell>
          <cell r="AC78">
            <v>0.47620000000000001</v>
          </cell>
          <cell r="AD78">
            <v>0.47370000000000001</v>
          </cell>
          <cell r="AE78">
            <v>0.46204999999999996</v>
          </cell>
          <cell r="AF78">
            <v>0.39690000000000003</v>
          </cell>
          <cell r="AG78">
            <v>0.36435000000000001</v>
          </cell>
          <cell r="AH78">
            <v>0.40385000000000004</v>
          </cell>
          <cell r="AI78">
            <v>0.43764999999999998</v>
          </cell>
          <cell r="AJ78">
            <v>0.49719999999999998</v>
          </cell>
          <cell r="AK78">
            <v>0.46879999999999999</v>
          </cell>
          <cell r="AP78">
            <v>0.44349056087551297</v>
          </cell>
          <cell r="AQ78">
            <v>0.57440000000000002</v>
          </cell>
          <cell r="AR78">
            <v>0.56999999999999995</v>
          </cell>
          <cell r="AS78">
            <v>0.56999999999999995</v>
          </cell>
          <cell r="AT78">
            <v>0.56999999999999995</v>
          </cell>
          <cell r="AU78">
            <v>0.56999999999999995</v>
          </cell>
          <cell r="AV78">
            <v>0.56999999999999995</v>
          </cell>
          <cell r="AW78">
            <v>0.56999999999999995</v>
          </cell>
          <cell r="AX78">
            <v>0.60000000000000009</v>
          </cell>
          <cell r="AY78">
            <v>0.59499999999999997</v>
          </cell>
          <cell r="AZ78">
            <v>0.56499999999999995</v>
          </cell>
          <cell r="BA78">
            <v>0.54</v>
          </cell>
        </row>
      </sheetData>
      <sheetData sheetId="11">
        <row r="23">
          <cell r="AP23">
            <v>0.84992264053635891</v>
          </cell>
        </row>
      </sheetData>
      <sheetData sheetId="12" refreshError="1"/>
      <sheetData sheetId="13">
        <row r="14">
          <cell r="AP14">
            <v>0.97872340425531912</v>
          </cell>
        </row>
      </sheetData>
      <sheetData sheetId="14">
        <row r="17">
          <cell r="AP17">
            <v>0.79545454545454541</v>
          </cell>
        </row>
      </sheetData>
      <sheetData sheetId="15" refreshError="1"/>
      <sheetData sheetId="16" refreshError="1"/>
      <sheetData sheetId="17" refreshError="1"/>
      <sheetData sheetId="18">
        <row r="6">
          <cell r="O6">
            <v>101091</v>
          </cell>
        </row>
      </sheetData>
      <sheetData sheetId="19" refreshError="1"/>
      <sheetData sheetId="2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HUR Swara OBS/GDO" id="{462E269D-5269-49C3-A056-FE821840AB2E}" userId="S::swara.mathur@orange.com::7b2f3b67-21b9-4bab-af2b-c15012db717b" providerId="AD"/>
  <person displayName="MOZART Camila OBS/GDO" id="{66BE5A74-3333-4FFC-9764-77CEE0252DA9}" userId="S::camila.mozart@orange.com::9a7d87eb-68e4-415d-88b0-1fad18c77e00" providerId="AD"/>
  <person displayName="TOOLSEERAM Luchmee OBS/GDO" id="{BD5418CF-3781-4931-B9D2-A34F498197D0}" userId="S::luchmee.toolseeram@orange.com::e4ab6896-bbbe-457e-b2b2-3ab1617d5f9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B75369-F47B-4287-858F-3DF08FB48B5D}" name="Table4" displayName="Table4" ref="A1:J17" totalsRowShown="0" headerRowDxfId="2" tableBorderDxfId="1" headerRowCellStyle="% 10 2">
  <autoFilter ref="A1:J17" xr:uid="{21B75369-F47B-4287-858F-3DF08FB48B5D}"/>
  <tableColumns count="10">
    <tableColumn id="1" xr3:uid="{9383653E-C072-4386-ACB4-58E2BA735D15}" name="KPI" dataDxfId="0" dataCellStyle="Normal_Feuil1"/>
    <tableColumn id="2" xr3:uid="{EB708E82-CAA2-4504-86FD-59EC3F707749}" name="01/25"/>
    <tableColumn id="3" xr3:uid="{3C1F9C37-8BD0-4455-BFC5-829BDB4478EC}" name="02/25"/>
    <tableColumn id="4" xr3:uid="{3CF883E1-39F4-45B3-A6B3-51BA25EED10E}" name="03/25"/>
    <tableColumn id="5" xr3:uid="{DC85B41A-8E40-48CC-ADD4-D177BA262363}" name="04/25"/>
    <tableColumn id="6" xr3:uid="{5E51D8CF-45E9-46F1-9948-46333CC47121}" name="05/25"/>
    <tableColumn id="7" xr3:uid="{AF63C4B5-1B69-4EBE-B637-2B2FBE30B542}" name="06/25"/>
    <tableColumn id="8" xr3:uid="{64EDEDE1-68AF-466C-86FD-B3590EC9B839}" name="07/25"/>
    <tableColumn id="9" xr3:uid="{1FEA3546-62A8-46D1-AC74-F89BD6BA83D2}" name="08/25"/>
    <tableColumn id="10" xr3:uid="{52041FBA-8EE9-4F82-A258-C6564AE1E74A}" name="09/25"/>
  </tableColumns>
  <tableStyleInfo name="TableStyleMedium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5-09-08T19:00:21.91" personId="{66BE5A74-3333-4FFC-9764-77CEE0252DA9}" id="{48D7CEE9-68F4-47CB-829A-B50BD49D79BA}">
    <text>Considered 4 Oceane Compliant Tickets, 7 UD Compliant Tickets and 1141 Bunge SNOW Compliant Tickets</text>
  </threadedComment>
  <threadedComment ref="C3" dT="2025-09-09T22:03:55.63" personId="{66BE5A74-3333-4FFC-9764-77CEE0252DA9}" id="{A70C066F-726B-4B70-AAD0-AEE403D459D2}" parentId="{48D7CEE9-68F4-47CB-829A-B50BD49D79BA}">
    <text xml:space="preserve">SLA Oceane: 100% | SLA UD: 41% | SLA Bunge: 99% </text>
  </threadedComment>
  <threadedComment ref="D3" dT="2025-09-08T19:00:21.91" personId="{66BE5A74-3333-4FFC-9764-77CEE0252DA9}" id="{12946F16-04F8-4D5F-A253-970764964732}">
    <text>Considered 4 Oceane Compliant Tickets, 7 UD Compliant Tickets and 1141 Bunge SNOW Compliant Tickets</text>
  </threadedComment>
  <threadedComment ref="D3" dT="2025-09-09T22:03:55.63" personId="{66BE5A74-3333-4FFC-9764-77CEE0252DA9}" id="{DAAB21EA-4887-4287-A1BF-7DCBF5787F3F}" parentId="{12946F16-04F8-4D5F-A253-970764964732}">
    <text xml:space="preserve">SLA Oceane: 100% | SLA UD: 41% | SLA Bunge: 99% </text>
  </threadedComment>
  <threadedComment ref="E3" dT="2025-09-08T19:00:21.91" personId="{66BE5A74-3333-4FFC-9764-77CEE0252DA9}" id="{BCE572C0-C8D9-4302-B216-D0DF35986247}">
    <text>Considered 4 Oceane Compliant Tickets, 7 UD Compliant Tickets and 1141 Bunge SNOW Compliant Tickets</text>
  </threadedComment>
  <threadedComment ref="E3" dT="2025-09-09T22:03:55.63" personId="{66BE5A74-3333-4FFC-9764-77CEE0252DA9}" id="{6878A507-047C-4891-BA01-7C6DC626AEB2}" parentId="{BCE572C0-C8D9-4302-B216-D0DF35986247}">
    <text xml:space="preserve">SLA Oceane: 100% | SLA UD: 41% | SLA Bunge: 99% </text>
  </threadedComment>
  <threadedComment ref="F3" dT="2025-09-08T19:00:21.91" personId="{66BE5A74-3333-4FFC-9764-77CEE0252DA9}" id="{D184595E-6424-4DE6-87B5-67535B0664CE}">
    <text>Considered 4 Oceane Compliant Tickets, 7 UD Compliant Tickets and 1141 Bunge SNOW Compliant Tickets</text>
  </threadedComment>
  <threadedComment ref="F3" dT="2025-09-09T22:03:55.63" personId="{66BE5A74-3333-4FFC-9764-77CEE0252DA9}" id="{DAF62F77-3F9D-42D7-B369-FC189783A499}" parentId="{D184595E-6424-4DE6-87B5-67535B0664CE}">
    <text xml:space="preserve">SLA Oceane: 100% | SLA UD: 41% | SLA Bunge: 99% </text>
  </threadedComment>
  <threadedComment ref="G3" dT="2025-09-08T19:00:21.91" personId="{66BE5A74-3333-4FFC-9764-77CEE0252DA9}" id="{19B4E8F1-B058-417B-8D33-BEB1487970EA}">
    <text>Considered 4 Oceane Compliant Tickets, 7 UD Compliant Tickets and 1141 Bunge SNOW Compliant Tickets</text>
  </threadedComment>
  <threadedComment ref="G3" dT="2025-09-09T22:03:55.63" personId="{66BE5A74-3333-4FFC-9764-77CEE0252DA9}" id="{5CFE76EA-219C-483C-ABD8-A2D5765ED592}" parentId="{19B4E8F1-B058-417B-8D33-BEB1487970EA}">
    <text xml:space="preserve">SLA Oceane: 100% | SLA UD: 41% | SLA Bunge: 99% </text>
  </threadedComment>
  <threadedComment ref="H3" dT="2025-09-08T19:00:21.91" personId="{66BE5A74-3333-4FFC-9764-77CEE0252DA9}" id="{F6FF6F46-5473-4B61-95FA-71F9936154DF}">
    <text>Considered 4 Oceane Compliant Tickets, 7 UD Compliant Tickets and 1141 Bunge SNOW Compliant Tickets</text>
  </threadedComment>
  <threadedComment ref="H3" dT="2025-09-09T22:03:55.63" personId="{66BE5A74-3333-4FFC-9764-77CEE0252DA9}" id="{60A46382-9F51-46DA-8AA0-F6C71C55D226}" parentId="{F6FF6F46-5473-4B61-95FA-71F9936154DF}">
    <text xml:space="preserve">SLA Oceane: 100% | SLA UD: 41% | SLA Bunge: 99% </text>
  </threadedComment>
  <threadedComment ref="I3" dT="2025-09-08T19:00:21.91" personId="{66BE5A74-3333-4FFC-9764-77CEE0252DA9}" id="{5F875375-6A07-41F5-BB00-75914AC09CA7}">
    <text>Considered 4 Oceane Compliant Tickets, 7 UD Compliant Tickets and 1141 Bunge SNOW Compliant Tickets</text>
  </threadedComment>
  <threadedComment ref="I3" dT="2025-09-09T22:03:55.63" personId="{66BE5A74-3333-4FFC-9764-77CEE0252DA9}" id="{8645D53B-C19C-4FF6-AF02-8F41B2A51D1F}" parentId="{5F875375-6A07-41F5-BB00-75914AC09CA7}">
    <text xml:space="preserve">SLA Oceane: 100% | SLA UD: 41% | SLA Bunge: 99% </text>
  </threadedComment>
  <threadedComment ref="C4" dT="2025-09-09T05:21:36.87" personId="{BD5418CF-3781-4931-B9D2-A34F498197D0}" id="{048CE6D7-E224-41E2-BDB3-DDB195BD421C}">
    <text>Global OD SLA%: 97%
Proactive: 99%
Reactive: 95%
Global Oceane SLA%: 87%
Proactive: 92%
Reactive: 79%
Global UD SLA%: 81%
Proactive: 79%
Reactive: 100%</text>
  </threadedComment>
  <threadedComment ref="D4" dT="2025-09-09T05:21:36.87" personId="{BD5418CF-3781-4931-B9D2-A34F498197D0}" id="{C3FAB3F6-A9BC-4420-9EDC-67A649310460}">
    <text>Global OD SLA%: 97%
Proactive: 99%
Reactive: 95%
Global Oceane SLA%: 87%
Proactive: 92%
Reactive: 79%
Global UD SLA%: 81%
Proactive: 79%
Reactive: 100%</text>
  </threadedComment>
  <threadedComment ref="E4" dT="2025-09-09T05:21:36.87" personId="{BD5418CF-3781-4931-B9D2-A34F498197D0}" id="{185FD594-7690-40D0-A346-597B8ADA9035}">
    <text>Global OD SLA%: 97%
Proactive: 99%
Reactive: 95%
Global Oceane SLA%: 87%
Proactive: 92%
Reactive: 79%
Global UD SLA%: 81%
Proactive: 79%
Reactive: 100%</text>
  </threadedComment>
  <threadedComment ref="F4" dT="2025-09-09T05:21:36.87" personId="{BD5418CF-3781-4931-B9D2-A34F498197D0}" id="{799A29D8-B6FC-4B2C-A172-704BD0570CC0}">
    <text>Global OD SLA%: 97%
Proactive: 99%
Reactive: 95%
Global Oceane SLA%: 87%
Proactive: 92%
Reactive: 79%
Global UD SLA%: 81%
Proactive: 79%
Reactive: 100%</text>
  </threadedComment>
  <threadedComment ref="G4" dT="2025-09-09T05:21:36.87" personId="{BD5418CF-3781-4931-B9D2-A34F498197D0}" id="{30054ED9-3AA2-470A-B7DF-C9D3BC8F61A7}">
    <text>Global OD SLA%: 97%
Proactive: 99%
Reactive: 95%
Global Oceane SLA%: 87%
Proactive: 92%
Reactive: 79%
Global UD SLA%: 81%
Proactive: 79%
Reactive: 100%</text>
  </threadedComment>
  <threadedComment ref="H4" dT="2025-09-09T05:21:36.87" personId="{BD5418CF-3781-4931-B9D2-A34F498197D0}" id="{39E23BD5-B484-435A-BD54-DE665A427DD5}">
    <text>Global OD SLA%: 97%
Proactive: 99%
Reactive: 95%
Global Oceane SLA%: 87%
Proactive: 92%
Reactive: 79%
Global UD SLA%: 81%
Proactive: 79%
Reactive: 100%</text>
  </threadedComment>
  <threadedComment ref="I4" dT="2025-09-09T05:21:36.87" personId="{BD5418CF-3781-4931-B9D2-A34F498197D0}" id="{C334D963-F6F9-4AC9-88B1-A31BDE1ACFAF}">
    <text>Global OD SLA%: 97%
Proactive: 99%
Reactive: 95%
Global Oceane SLA%: 87%
Proactive: 92%
Reactive: 79%
Global UD SLA%: 81%
Proactive: 79%
Reactive: 100%</text>
  </threadedComment>
  <threadedComment ref="C7" dT="2025-09-08T19:30:20.84" personId="{66BE5A74-3333-4FFC-9764-77CEE0252DA9}" id="{E07EAC14-B629-4BC5-AE26-6CC4FA896278}">
    <text>Considered on the calculation: 4 Oceane tickets. No UD or BUNGE P0/P1 tickets eligible.</text>
  </threadedComment>
  <threadedComment ref="D7" dT="2025-09-08T19:30:20.84" personId="{66BE5A74-3333-4FFC-9764-77CEE0252DA9}" id="{B7229C25-4625-46E1-8510-039DDC1BC807}">
    <text>Considered on the calculation: 4 Oceane tickets. No UD or BUNGE P0/P1 tickets eligible.</text>
  </threadedComment>
  <threadedComment ref="E7" dT="2025-09-08T19:30:20.84" personId="{66BE5A74-3333-4FFC-9764-77CEE0252DA9}" id="{26521D93-96F2-4F3B-8C48-A8189294B9FC}">
    <text>Considered on the calculation: 4 Oceane tickets. No UD or BUNGE P0/P1 tickets eligible.</text>
  </threadedComment>
  <threadedComment ref="F7" dT="2025-09-08T19:30:20.84" personId="{66BE5A74-3333-4FFC-9764-77CEE0252DA9}" id="{F2877032-5319-4521-A977-F67779242769}">
    <text>Considered on the calculation: 4 Oceane tickets. No UD or BUNGE P0/P1 tickets eligible.</text>
  </threadedComment>
  <threadedComment ref="G7" dT="2025-09-08T19:30:20.84" personId="{66BE5A74-3333-4FFC-9764-77CEE0252DA9}" id="{F66E5951-EFD8-438A-8CAD-CD43831CA4A2}">
    <text>Considered on the calculation: 4 Oceane tickets. No UD or BUNGE P0/P1 tickets eligible.</text>
  </threadedComment>
  <threadedComment ref="H7" dT="2025-09-08T19:30:20.84" personId="{66BE5A74-3333-4FFC-9764-77CEE0252DA9}" id="{43534BFF-8B06-4301-8A70-9BE70A7990C2}">
    <text>Considered on the calculation: 4 Oceane tickets. No UD or BUNGE P0/P1 tickets eligible.</text>
  </threadedComment>
  <threadedComment ref="I7" dT="2025-09-08T19:30:20.84" personId="{66BE5A74-3333-4FFC-9764-77CEE0252DA9}" id="{853885D7-66E4-48C6-8969-8F285D413A46}">
    <text>Considered on the calculation: 4 Oceane tickets. No UD or BUNGE P0/P1 tickets eligible.</text>
  </threadedComment>
  <threadedComment ref="C8" dT="2025-09-09T06:20:07.72" personId="{BD5418CF-3781-4931-B9D2-A34F498197D0}" id="{BB336896-A495-4DC9-BF0B-C7B48A5EFD4B}">
    <text xml:space="preserve">Global Aug 2025 TTR calculated using Oceane datasets only.  </text>
  </threadedComment>
  <threadedComment ref="D8" dT="2025-09-09T06:20:07.72" personId="{BD5418CF-3781-4931-B9D2-A34F498197D0}" id="{359DF065-AC29-449C-8865-37C85FE165CC}">
    <text xml:space="preserve">Global Aug 2025 TTR calculated using Oceane datasets only.  </text>
  </threadedComment>
  <threadedComment ref="E8" dT="2025-09-09T06:20:07.72" personId="{BD5418CF-3781-4931-B9D2-A34F498197D0}" id="{29A56459-E950-4272-A972-3A9688BB628C}">
    <text xml:space="preserve">Global Aug 2025 TTR calculated using Oceane datasets only.  </text>
  </threadedComment>
  <threadedComment ref="F8" dT="2025-09-09T06:20:07.72" personId="{BD5418CF-3781-4931-B9D2-A34F498197D0}" id="{E730A7D8-BA35-412C-9F98-0631D0A4FC3C}">
    <text xml:space="preserve">Global Aug 2025 TTR calculated using Oceane datasets only.  </text>
  </threadedComment>
  <threadedComment ref="G8" dT="2025-09-09T06:20:07.72" personId="{BD5418CF-3781-4931-B9D2-A34F498197D0}" id="{12D2A307-EA9C-4136-BE33-6381A097E19E}">
    <text xml:space="preserve">Global Aug 2025 TTR calculated using Oceane datasets only.  </text>
  </threadedComment>
  <threadedComment ref="H8" dT="2025-09-09T06:20:07.72" personId="{BD5418CF-3781-4931-B9D2-A34F498197D0}" id="{9B604C1A-2DE5-411D-8E24-FBDCBD9396A6}">
    <text xml:space="preserve">Global Aug 2025 TTR calculated using Oceane datasets only.  </text>
  </threadedComment>
  <threadedComment ref="I8" dT="2025-09-09T06:20:07.72" personId="{BD5418CF-3781-4931-B9D2-A34F498197D0}" id="{F3D628EE-12D4-4E00-B367-E3D1C24D3995}">
    <text xml:space="preserve">Global Aug 2025 TTR calculated using Oceane datasets only.  </text>
  </threadedComment>
  <threadedComment ref="C11" dT="2025-09-08T18:57:40.40" personId="{66BE5A74-3333-4FFC-9764-77CEE0252DA9}" id="{A7F18A79-D2D7-4349-98B3-5CCBA306DA32}">
    <text>Considered 17 UD digital tickets on the calculation</text>
  </threadedComment>
  <threadedComment ref="D11" dT="2025-09-08T18:57:40.40" personId="{66BE5A74-3333-4FFC-9764-77CEE0252DA9}" id="{EA3EBDFB-0533-4EEE-93CB-6575CD5E963A}">
    <text>Considered 17 UD digital tickets on the calculation</text>
  </threadedComment>
  <threadedComment ref="E11" dT="2025-09-08T18:57:40.40" personId="{66BE5A74-3333-4FFC-9764-77CEE0252DA9}" id="{AC978B44-8BAF-4CAA-A2AF-1606C16A7D1F}">
    <text>Considered 17 UD digital tickets on the calculation</text>
  </threadedComment>
  <threadedComment ref="F11" dT="2025-09-08T18:57:40.40" personId="{66BE5A74-3333-4FFC-9764-77CEE0252DA9}" id="{8705C79A-C7A7-4DBB-903E-29CE859F24DE}">
    <text>Considered 17 UD digital tickets on the calculation</text>
  </threadedComment>
  <threadedComment ref="G11" dT="2025-09-08T18:57:40.40" personId="{66BE5A74-3333-4FFC-9764-77CEE0252DA9}" id="{AC16B146-0739-40DE-92A8-5C33B434B6E4}">
    <text>Considered 17 UD digital tickets on the calculation</text>
  </threadedComment>
  <threadedComment ref="H11" dT="2025-09-08T18:57:40.40" personId="{66BE5A74-3333-4FFC-9764-77CEE0252DA9}" id="{E29A2109-0908-4033-A44F-03012319E3FA}">
    <text>Considered 17 UD digital tickets on the calculation</text>
  </threadedComment>
  <threadedComment ref="I11" dT="2025-09-08T18:57:40.40" personId="{66BE5A74-3333-4FFC-9764-77CEE0252DA9}" id="{5EB3CAE1-E04F-44FD-B9ED-293779D17323}">
    <text>Considered 17 UD digital tickets on the calculation</text>
  </threadedComment>
  <threadedComment ref="C13" dT="2025-08-25T10:38:04.36" personId="{462E269D-5269-49C3-A056-FE821840AB2E}" id="{EFA717BB-7220-4F59-A3B4-33C016DB9A6D}">
    <text xml:space="preserve">Increase in % due to addition of MMG SPLUNK Tickets (Internal DU )
</text>
  </threadedComment>
  <threadedComment ref="D13" dT="2025-08-25T10:38:04.36" personId="{462E269D-5269-49C3-A056-FE821840AB2E}" id="{9182B7BA-4230-4CCB-A341-12B9B6EE58CF}">
    <text xml:space="preserve">Increase in % due to addition of MMG SPLUNK Tickets (Internal DU )
</text>
  </threadedComment>
  <threadedComment ref="E13" dT="2025-08-25T10:38:04.36" personId="{462E269D-5269-49C3-A056-FE821840AB2E}" id="{B74EBDB8-AE29-4F6F-A50E-830D2B188326}">
    <text xml:space="preserve">Increase in % due to addition of MMG SPLUNK Tickets (Internal DU )
</text>
  </threadedComment>
  <threadedComment ref="F13" dT="2025-08-25T10:38:04.36" personId="{462E269D-5269-49C3-A056-FE821840AB2E}" id="{A9BE0326-C2B0-46C4-B442-B4EA52AD01F1}">
    <text xml:space="preserve">Increase in % due to addition of MMG SPLUNK Tickets (Internal DU )
</text>
  </threadedComment>
  <threadedComment ref="G13" dT="2025-08-25T10:38:04.36" personId="{462E269D-5269-49C3-A056-FE821840AB2E}" id="{9FB2A86E-BBA4-49BD-83E8-D1B8F83FF285}">
    <text xml:space="preserve">Increase in % due to addition of MMG SPLUNK Tickets (Internal DU )
</text>
  </threadedComment>
  <threadedComment ref="H13" dT="2025-08-25T10:38:04.36" personId="{462E269D-5269-49C3-A056-FE821840AB2E}" id="{078CE067-5455-45AD-8ADA-DC04537F5D33}">
    <text xml:space="preserve">Increase in % due to addition of MMG SPLUNK Tickets (Internal DU )
</text>
  </threadedComment>
  <threadedComment ref="I13" dT="2025-08-25T10:38:04.36" personId="{462E269D-5269-49C3-A056-FE821840AB2E}" id="{5047EE9F-0BED-42C9-B9C4-486127A92E4F}">
    <text xml:space="preserve">Increase in % due to addition of MMG SPLUNK Tickets (Internal DU )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7D55-AA9E-406A-982B-AE702E77ABD0}">
  <dimension ref="A1:AA6"/>
  <sheetViews>
    <sheetView workbookViewId="0">
      <selection activeCell="E12" sqref="E12"/>
    </sheetView>
  </sheetViews>
  <sheetFormatPr defaultRowHeight="14.45"/>
  <sheetData>
    <row r="1" spans="1:27" s="1" customFormat="1" ht="27" customHeight="1">
      <c r="A1" s="15"/>
    </row>
    <row r="2" spans="1:27" s="1" customFormat="1">
      <c r="A2" s="2" t="s">
        <v>0</v>
      </c>
      <c r="B2" s="3">
        <v>45681</v>
      </c>
      <c r="C2" s="3">
        <v>45712</v>
      </c>
      <c r="D2" s="3">
        <v>45740</v>
      </c>
      <c r="E2" s="3">
        <v>45771</v>
      </c>
      <c r="F2" s="3">
        <v>45801</v>
      </c>
      <c r="G2" s="3">
        <v>45832</v>
      </c>
      <c r="H2" s="3">
        <v>45862</v>
      </c>
      <c r="I2" s="3">
        <v>45893</v>
      </c>
      <c r="J2" s="3">
        <v>45924</v>
      </c>
      <c r="K2" s="3">
        <v>45954</v>
      </c>
      <c r="L2" s="3">
        <v>45985</v>
      </c>
      <c r="M2" s="3">
        <v>46015</v>
      </c>
      <c r="N2" s="4">
        <v>45682</v>
      </c>
      <c r="O2" s="3">
        <v>45713</v>
      </c>
      <c r="P2" s="3">
        <v>45741</v>
      </c>
      <c r="Q2" s="3">
        <v>45772</v>
      </c>
      <c r="R2" s="3">
        <v>45802</v>
      </c>
      <c r="S2" s="3">
        <v>45833</v>
      </c>
      <c r="T2" s="3">
        <v>45863</v>
      </c>
      <c r="U2" s="3">
        <v>45894</v>
      </c>
      <c r="V2" s="3">
        <v>45925</v>
      </c>
      <c r="W2" s="3">
        <v>45955</v>
      </c>
      <c r="X2" s="3">
        <v>45986</v>
      </c>
      <c r="Y2" s="3">
        <v>46017</v>
      </c>
      <c r="Z2" s="4">
        <v>46048</v>
      </c>
      <c r="AA2" s="3">
        <v>46079</v>
      </c>
    </row>
    <row r="3" spans="1:27" s="1" customFormat="1">
      <c r="A3" s="5" t="s">
        <v>1</v>
      </c>
      <c r="B3" s="6">
        <f>[1]Global!Z12</f>
        <v>8093</v>
      </c>
      <c r="C3" s="6">
        <f>[1]Global!AA12</f>
        <v>6934</v>
      </c>
      <c r="D3" s="6">
        <f>[1]Global!AB12</f>
        <v>6671</v>
      </c>
      <c r="E3" s="6">
        <f>[1]Global!AC12</f>
        <v>6814</v>
      </c>
      <c r="F3" s="6">
        <f>[1]Global!AD12</f>
        <v>8352</v>
      </c>
      <c r="G3" s="6">
        <f>[1]Global!AE12</f>
        <v>1467</v>
      </c>
      <c r="H3" s="6">
        <f>[1]Global!AF12</f>
        <v>3638</v>
      </c>
      <c r="I3" s="6">
        <f>[1]Global!AG12</f>
        <v>5688</v>
      </c>
      <c r="J3" s="6">
        <f>[1]Global!AH12</f>
        <v>4394</v>
      </c>
      <c r="K3" s="6">
        <f>[1]Global!AI12</f>
        <v>5724</v>
      </c>
      <c r="L3" s="6">
        <f>[1]Global!AJ12</f>
        <v>5543</v>
      </c>
      <c r="M3" s="6">
        <f>[1]Global!AK12</f>
        <v>6156</v>
      </c>
      <c r="N3" s="7">
        <f>[1]Global!AP12</f>
        <v>5988</v>
      </c>
      <c r="O3" s="6">
        <f>[1]Global!AQ12</f>
        <v>7205</v>
      </c>
      <c r="P3" s="6">
        <f>[1]Global!AR12</f>
        <v>7773</v>
      </c>
      <c r="Q3" s="6">
        <f>[1]Global!AS12</f>
        <v>6890</v>
      </c>
      <c r="R3" s="6">
        <f>[1]Global!AT12</f>
        <v>5339</v>
      </c>
      <c r="S3" s="6">
        <f>[1]Global!AU12</f>
        <v>6566</v>
      </c>
      <c r="T3" s="6">
        <f>[1]Global!AV12</f>
        <v>6281</v>
      </c>
      <c r="U3" s="6">
        <f>[1]Global!AW12</f>
        <v>5019</v>
      </c>
      <c r="V3" s="6">
        <f>[1]Global!AX12</f>
        <v>6158</v>
      </c>
      <c r="W3" s="6">
        <f>[1]Global!AY12</f>
        <v>6413</v>
      </c>
      <c r="X3" s="6">
        <f>[1]Global!AZ12</f>
        <v>6755</v>
      </c>
      <c r="Y3" s="6">
        <f>[1]Global!BA12</f>
        <v>6438</v>
      </c>
      <c r="Z3" s="7">
        <f>[1]Global!BF12</f>
        <v>7119</v>
      </c>
      <c r="AA3" s="6">
        <f>[1]Global!BG12</f>
        <v>7085</v>
      </c>
    </row>
    <row r="4" spans="1:27" s="1" customFormat="1">
      <c r="A4" s="8" t="s">
        <v>2</v>
      </c>
      <c r="B4" s="6">
        <f>[1]Global!Z15</f>
        <v>28903</v>
      </c>
      <c r="C4" s="6">
        <f>[1]Global!AA15</f>
        <v>28536</v>
      </c>
      <c r="D4" s="6">
        <f>[1]Global!AB15</f>
        <v>29963</v>
      </c>
      <c r="E4" s="6">
        <f>[1]Global!AC15</f>
        <v>29684</v>
      </c>
      <c r="F4" s="6">
        <f>[1]Global!AD15</f>
        <v>37540</v>
      </c>
      <c r="G4" s="6">
        <f>[1]Global!AE15</f>
        <v>29214</v>
      </c>
      <c r="H4" s="6">
        <f>[1]Global!AF15</f>
        <v>30048</v>
      </c>
      <c r="I4" s="6">
        <f>[1]Global!AG15</f>
        <v>28311</v>
      </c>
      <c r="J4" s="6">
        <f>[1]Global!AH15</f>
        <v>28754</v>
      </c>
      <c r="K4" s="6">
        <f>[1]Global!AI15</f>
        <v>29629</v>
      </c>
      <c r="L4" s="6">
        <f>[1]Global!AJ15</f>
        <v>29178</v>
      </c>
      <c r="M4" s="6">
        <f>[1]Global!AK15</f>
        <v>25275</v>
      </c>
      <c r="N4" s="7">
        <f>[1]Global!AP15</f>
        <v>24538</v>
      </c>
      <c r="O4" s="6">
        <f>[1]Global!AQ15</f>
        <v>32038</v>
      </c>
      <c r="P4" s="6">
        <f>[1]Global!AR15</f>
        <v>28321</v>
      </c>
      <c r="Q4" s="6">
        <f>[1]Global!AS15</f>
        <v>29290</v>
      </c>
      <c r="R4" s="6">
        <f>[1]Global!AT15</f>
        <v>26425</v>
      </c>
      <c r="S4" s="6">
        <f>[1]Global!AU15</f>
        <v>27107</v>
      </c>
      <c r="T4" s="6">
        <f>[1]Global!AV15</f>
        <v>28257</v>
      </c>
      <c r="U4" s="6">
        <f>[1]Global!AW15</f>
        <v>22769</v>
      </c>
      <c r="V4" s="6">
        <f>[1]Global!AX15</f>
        <v>25807</v>
      </c>
      <c r="W4" s="6">
        <f>[1]Global!AY15</f>
        <v>32461</v>
      </c>
      <c r="X4" s="6">
        <f>[1]Global!AZ15</f>
        <v>29811</v>
      </c>
      <c r="Y4" s="6">
        <f>[1]Global!BA15</f>
        <v>26526</v>
      </c>
      <c r="Z4" s="7">
        <f>[1]Global!BF15</f>
        <v>26540</v>
      </c>
      <c r="AA4" s="6">
        <f>[1]Global!BG15</f>
        <v>22673</v>
      </c>
    </row>
    <row r="5" spans="1:27" s="1" customFormat="1">
      <c r="A5" s="5" t="s">
        <v>3</v>
      </c>
      <c r="B5" s="9">
        <f>[1]Global!Z18</f>
        <v>22512</v>
      </c>
      <c r="C5" s="9">
        <f>[1]Global!AA18</f>
        <v>24495</v>
      </c>
      <c r="D5" s="9">
        <f>[1]Global!AB18</f>
        <v>21766</v>
      </c>
      <c r="E5" s="9">
        <f>[1]Global!AC18</f>
        <v>19826</v>
      </c>
      <c r="F5" s="9">
        <f>[1]Global!AD18</f>
        <v>21737</v>
      </c>
      <c r="G5" s="9">
        <f>[1]Global!AE18</f>
        <v>17764</v>
      </c>
      <c r="H5" s="9">
        <f>[1]Global!AF18</f>
        <v>19414</v>
      </c>
      <c r="I5" s="9">
        <f>[1]Global!AG18</f>
        <v>17196</v>
      </c>
      <c r="J5" s="9">
        <f>[1]Global!AH18</f>
        <v>17852</v>
      </c>
      <c r="K5" s="9">
        <f>[1]Global!AI18</f>
        <v>17103</v>
      </c>
      <c r="L5" s="9">
        <f>[1]Global!AJ18</f>
        <v>19446</v>
      </c>
      <c r="M5" s="9">
        <f>[1]Global!AK18</f>
        <v>19103</v>
      </c>
      <c r="N5" s="10">
        <f>[1]Global!AP18</f>
        <v>16588</v>
      </c>
      <c r="O5" s="9">
        <f>[1]Global!AQ18</f>
        <v>15860</v>
      </c>
      <c r="P5" s="9">
        <f>[1]Global!AR18</f>
        <v>18626</v>
      </c>
      <c r="Q5" s="9">
        <f>[1]Global!AS18</f>
        <v>19235</v>
      </c>
      <c r="R5" s="9">
        <f>[1]Global!AT18</f>
        <v>20113</v>
      </c>
      <c r="S5" s="9">
        <f>[1]Global!AU18</f>
        <v>24302</v>
      </c>
      <c r="T5" s="9">
        <f>[1]Global!AV18</f>
        <v>27279</v>
      </c>
      <c r="U5" s="9">
        <f>[1]Global!AW18</f>
        <v>19619</v>
      </c>
      <c r="V5" s="9">
        <f>[1]Global!AX18</f>
        <v>22851</v>
      </c>
      <c r="W5" s="9">
        <f>[1]Global!AY18</f>
        <v>21738</v>
      </c>
      <c r="X5" s="9">
        <f>[1]Global!AZ18</f>
        <v>20953</v>
      </c>
      <c r="Y5" s="9">
        <f>[1]Global!BA18</f>
        <v>19103</v>
      </c>
      <c r="Z5" s="7">
        <f>[1]Global!BF18</f>
        <v>19018</v>
      </c>
      <c r="AA5" s="11">
        <f>[1]Global!BG18</f>
        <v>18766</v>
      </c>
    </row>
    <row r="6" spans="1:27" s="1" customFormat="1">
      <c r="A6" s="12" t="s">
        <v>4</v>
      </c>
      <c r="B6" s="13">
        <f>SUM(B3:B5)</f>
        <v>59508</v>
      </c>
      <c r="C6" s="13">
        <f>SUM(C3:C5)</f>
        <v>59965</v>
      </c>
      <c r="D6" s="13">
        <f>SUM(D3:D5)</f>
        <v>58400</v>
      </c>
      <c r="E6" s="13">
        <f>SUM(E3:E5)</f>
        <v>56324</v>
      </c>
      <c r="F6" s="13">
        <f>SUM(F3:F5)</f>
        <v>67629</v>
      </c>
      <c r="G6" s="13">
        <f>SUM(G3:G5)</f>
        <v>48445</v>
      </c>
      <c r="H6" s="13">
        <f>SUM(H3:H5)</f>
        <v>53100</v>
      </c>
      <c r="I6" s="13">
        <f>SUM(I3:I5)</f>
        <v>51195</v>
      </c>
      <c r="J6" s="13">
        <f>SUM(J3:J5)</f>
        <v>51000</v>
      </c>
      <c r="K6" s="13">
        <f>SUM(K3:K5)</f>
        <v>52456</v>
      </c>
      <c r="L6" s="13">
        <f>SUM(L3:L5)</f>
        <v>54167</v>
      </c>
      <c r="M6" s="13">
        <f>SUM(M3:M5)</f>
        <v>50534</v>
      </c>
      <c r="N6" s="14">
        <f>SUM(N3:N5)</f>
        <v>47114</v>
      </c>
      <c r="O6" s="13">
        <f>SUM(O3:O5)</f>
        <v>55103</v>
      </c>
      <c r="P6" s="13">
        <f>SUM(P3:P5)</f>
        <v>54720</v>
      </c>
      <c r="Q6" s="13">
        <f>SUM(Q3:Q5)</f>
        <v>55415</v>
      </c>
      <c r="R6" s="13">
        <f>SUM(R3:R5)</f>
        <v>51877</v>
      </c>
      <c r="S6" s="13">
        <f>SUM(S3:S5)</f>
        <v>57975</v>
      </c>
      <c r="T6" s="13">
        <f>SUM(T3:T5)</f>
        <v>61817</v>
      </c>
      <c r="U6" s="13">
        <f>SUM(U3:U5)</f>
        <v>47407</v>
      </c>
      <c r="V6" s="13">
        <f>SUM(V3:V5)</f>
        <v>54816</v>
      </c>
      <c r="W6" s="13">
        <f>SUM(W3:W5)</f>
        <v>60612</v>
      </c>
      <c r="X6" s="13">
        <f>SUM(X3:X5)</f>
        <v>57519</v>
      </c>
      <c r="Y6" s="13">
        <f>SUM(Y3:Y5)</f>
        <v>52067</v>
      </c>
      <c r="Z6" s="14">
        <f>SUM(Z3:Z5)</f>
        <v>52677</v>
      </c>
      <c r="AA6" s="13">
        <f>SUM(AA3:AA5)</f>
        <v>48524</v>
      </c>
    </row>
  </sheetData>
  <dataValidations count="1">
    <dataValidation allowBlank="1" showInputMessage="1" showErrorMessage="1" sqref="A2:AA2" xr:uid="{26A2848F-93A1-4957-8689-A459B548D1D6}"/>
  </dataValidations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1BB8-012F-45E6-B8E5-F568994D4463}">
  <dimension ref="A1:AC22"/>
  <sheetViews>
    <sheetView workbookViewId="0"/>
  </sheetViews>
  <sheetFormatPr defaultColWidth="17.5703125" defaultRowHeight="14.45"/>
  <cols>
    <col min="1" max="1" width="26.85546875" style="1" customWidth="1"/>
    <col min="2" max="16384" width="17.5703125" style="1"/>
  </cols>
  <sheetData>
    <row r="1" spans="1:29">
      <c r="A1" s="17" t="s">
        <v>5</v>
      </c>
      <c r="B1" s="18" t="s">
        <v>6</v>
      </c>
      <c r="C1" s="18" t="s">
        <v>7</v>
      </c>
      <c r="D1" s="18" t="s">
        <v>8</v>
      </c>
      <c r="E1" s="18" t="s">
        <v>9</v>
      </c>
      <c r="F1" s="18" t="s">
        <v>10</v>
      </c>
      <c r="G1" s="18" t="s">
        <v>11</v>
      </c>
      <c r="H1" s="18" t="s">
        <v>12</v>
      </c>
      <c r="I1" s="18" t="s">
        <v>13</v>
      </c>
      <c r="J1" s="18" t="s">
        <v>14</v>
      </c>
      <c r="K1" s="18">
        <v>45955</v>
      </c>
      <c r="L1" s="18">
        <v>45962</v>
      </c>
      <c r="M1" s="18">
        <v>45992</v>
      </c>
      <c r="N1" s="19">
        <v>46023</v>
      </c>
      <c r="O1" s="19">
        <v>46054</v>
      </c>
      <c r="P1" s="19">
        <v>46082</v>
      </c>
      <c r="Q1" s="19">
        <v>46113</v>
      </c>
      <c r="R1" s="19">
        <v>46143</v>
      </c>
      <c r="S1" s="20">
        <v>46174</v>
      </c>
      <c r="T1" s="21">
        <v>46204</v>
      </c>
      <c r="U1" s="22">
        <v>46235</v>
      </c>
      <c r="V1" s="22">
        <v>46266</v>
      </c>
      <c r="W1" s="22">
        <v>46296</v>
      </c>
      <c r="X1" s="22">
        <v>46327</v>
      </c>
      <c r="Y1" s="22">
        <v>46357</v>
      </c>
    </row>
    <row r="2" spans="1:29">
      <c r="A2" s="26" t="s">
        <v>15</v>
      </c>
      <c r="B2" s="27">
        <f>AVERAGE(B3:B5)</f>
        <v>0.93066954022988513</v>
      </c>
      <c r="C2" s="27">
        <f t="shared" ref="C2:L2" si="0">AVERAGE(C3:C5)</f>
        <v>0.85621666666666663</v>
      </c>
      <c r="D2" s="27">
        <f t="shared" si="0"/>
        <v>0.76333333333333331</v>
      </c>
      <c r="E2" s="27">
        <f t="shared" si="0"/>
        <v>0.85324761904761903</v>
      </c>
      <c r="F2" s="27">
        <f t="shared" si="0"/>
        <v>0.89638730158730162</v>
      </c>
      <c r="G2" s="27">
        <f t="shared" si="0"/>
        <v>0.91677944597490058</v>
      </c>
      <c r="H2" s="27">
        <f t="shared" si="0"/>
        <v>0.93313788201847903</v>
      </c>
      <c r="I2" s="27">
        <f t="shared" si="0"/>
        <v>0.94959151722174784</v>
      </c>
      <c r="J2" s="27">
        <f t="shared" si="0"/>
        <v>0.92249925410243661</v>
      </c>
      <c r="K2" s="27">
        <f t="shared" si="0"/>
        <v>0.89645569620253163</v>
      </c>
      <c r="L2" s="27">
        <f t="shared" si="0"/>
        <v>0.91735764053840063</v>
      </c>
      <c r="M2" s="27">
        <f>AVERAGE(M3:M5)</f>
        <v>0.91999999999999993</v>
      </c>
      <c r="N2" s="28">
        <f>AVERAGE(N3:N5)</f>
        <v>0</v>
      </c>
      <c r="O2" s="24"/>
      <c r="P2" s="24"/>
      <c r="Q2" s="24"/>
      <c r="R2" s="24"/>
      <c r="S2" s="24"/>
      <c r="T2" s="24"/>
      <c r="U2" s="23"/>
      <c r="V2" s="23"/>
      <c r="W2" s="23"/>
      <c r="X2" s="23"/>
      <c r="Y2" s="23"/>
      <c r="Z2" s="23"/>
      <c r="AA2" s="23"/>
      <c r="AB2" s="23"/>
      <c r="AC2" s="23"/>
    </row>
    <row r="3" spans="1:29">
      <c r="A3" s="25" t="s">
        <v>16</v>
      </c>
      <c r="B3" s="29">
        <f>[1]Global!AP28</f>
        <v>1</v>
      </c>
      <c r="C3" s="29">
        <f>[1]Global!AQ28</f>
        <v>0.8</v>
      </c>
      <c r="D3" s="29">
        <f>[1]Global!AR28</f>
        <v>0.5</v>
      </c>
      <c r="E3" s="29">
        <f>[1]Global!AS28</f>
        <v>0.8571428571428571</v>
      </c>
      <c r="F3" s="29">
        <f>[1]Global!AT28</f>
        <v>0.90476190476190477</v>
      </c>
      <c r="G3" s="29">
        <f>[1]Global!AU28</f>
        <v>0.9742883379247016</v>
      </c>
      <c r="H3" s="29">
        <f>[1]Global!AV28</f>
        <v>0.97441364605543712</v>
      </c>
      <c r="I3" s="29">
        <f>[1]Global!AW28</f>
        <v>0.98377455166524341</v>
      </c>
      <c r="J3" s="29">
        <f>[1]Global!AX28</f>
        <v>0.90949776230730983</v>
      </c>
      <c r="K3" s="29">
        <f>[1]Global!AY28</f>
        <v>0.94936708860759489</v>
      </c>
      <c r="L3" s="29">
        <f>[1]Global!AZ28</f>
        <v>0.98337292161520184</v>
      </c>
      <c r="M3" s="29">
        <f>[1]Global!BA28</f>
        <v>0.99</v>
      </c>
      <c r="N3" s="30">
        <f>[1]Global!BB28</f>
        <v>0</v>
      </c>
      <c r="O3" s="24"/>
      <c r="P3" s="24"/>
      <c r="Q3" s="24"/>
      <c r="R3" s="24"/>
      <c r="S3" s="24"/>
      <c r="T3" s="24"/>
      <c r="U3" s="23"/>
      <c r="V3" s="23"/>
      <c r="W3" s="23"/>
      <c r="X3" s="23"/>
      <c r="Y3" s="23"/>
      <c r="Z3" s="23"/>
      <c r="AA3" s="23"/>
      <c r="AB3" s="23"/>
      <c r="AC3" s="23"/>
    </row>
    <row r="4" spans="1:29">
      <c r="A4" s="25" t="s">
        <v>17</v>
      </c>
      <c r="B4" s="29">
        <f>[1]Global!AP31</f>
        <v>0.89</v>
      </c>
      <c r="C4" s="29">
        <f>[1]Global!AQ31</f>
        <v>0.85</v>
      </c>
      <c r="D4" s="29">
        <f>[1]Global!AR31</f>
        <v>0.91</v>
      </c>
      <c r="E4" s="29">
        <f>[1]Global!AS31</f>
        <v>0.87</v>
      </c>
      <c r="F4" s="29">
        <f>[1]Global!AT31</f>
        <v>0.91</v>
      </c>
      <c r="G4" s="29">
        <f>[1]Global!AU31</f>
        <v>0.94</v>
      </c>
      <c r="H4" s="29">
        <f>[1]Global!AV31</f>
        <v>0.95</v>
      </c>
      <c r="I4" s="29">
        <f>[1]Global!AW31</f>
        <v>0.93</v>
      </c>
      <c r="J4" s="29">
        <f>[1]Global!AX31</f>
        <v>0.92</v>
      </c>
      <c r="K4" s="29">
        <f>[1]Global!AY31</f>
        <v>0.86</v>
      </c>
      <c r="L4" s="29">
        <f>[1]Global!AZ31</f>
        <v>0.9</v>
      </c>
      <c r="M4" s="29">
        <f>[1]Global!BA31</f>
        <v>0.84</v>
      </c>
      <c r="N4" s="30">
        <f>[1]Global!BB31</f>
        <v>0</v>
      </c>
      <c r="O4" s="24"/>
      <c r="P4" s="24"/>
      <c r="Q4" s="24"/>
      <c r="R4" s="24"/>
      <c r="S4" s="24"/>
      <c r="T4" s="24"/>
      <c r="U4" s="23"/>
      <c r="V4" s="23"/>
      <c r="W4" s="23"/>
      <c r="X4" s="23"/>
      <c r="Y4" s="23"/>
      <c r="Z4" s="23"/>
      <c r="AA4" s="23"/>
      <c r="AB4" s="23"/>
      <c r="AC4" s="23"/>
    </row>
    <row r="5" spans="1:29">
      <c r="A5" s="25" t="s">
        <v>18</v>
      </c>
      <c r="B5" s="29">
        <f>[1]Global!AP34</f>
        <v>0.90200862068965515</v>
      </c>
      <c r="C5" s="29">
        <f>[1]Global!AQ34</f>
        <v>0.91864999999999997</v>
      </c>
      <c r="D5" s="29">
        <f>[1]Global!AR34</f>
        <v>0.88</v>
      </c>
      <c r="E5" s="29">
        <f>[1]Global!AS34</f>
        <v>0.83260000000000001</v>
      </c>
      <c r="F5" s="29">
        <f>[1]Global!AT34</f>
        <v>0.87440000000000007</v>
      </c>
      <c r="G5" s="29">
        <f>[1]Global!AU34</f>
        <v>0.83604999999999996</v>
      </c>
      <c r="H5" s="29">
        <f>[1]Global!AV34</f>
        <v>0.875</v>
      </c>
      <c r="I5" s="29">
        <f>[1]Global!AW34</f>
        <v>0.93500000000000005</v>
      </c>
      <c r="J5" s="29">
        <f>[1]Global!AX34</f>
        <v>0.93799999999999994</v>
      </c>
      <c r="K5" s="29">
        <f>[1]Global!AY34</f>
        <v>0.88</v>
      </c>
      <c r="L5" s="29">
        <f>[1]Global!AZ34</f>
        <v>0.86870000000000003</v>
      </c>
      <c r="M5" s="29">
        <f>[1]Global!BA34</f>
        <v>0.92999999999999994</v>
      </c>
      <c r="N5" s="30">
        <f>[1]Global!BB34</f>
        <v>0</v>
      </c>
      <c r="O5" s="24"/>
      <c r="P5" s="24"/>
      <c r="Q5" s="24"/>
      <c r="R5" s="24"/>
      <c r="S5" s="24"/>
      <c r="T5" s="24"/>
      <c r="U5" s="23"/>
      <c r="V5" s="23"/>
      <c r="W5" s="23"/>
      <c r="X5" s="23"/>
      <c r="Y5" s="23"/>
      <c r="Z5" s="23"/>
      <c r="AA5" s="23"/>
      <c r="AB5" s="23"/>
      <c r="AC5" s="23"/>
    </row>
    <row r="6" spans="1:29">
      <c r="A6" s="31" t="s">
        <v>19</v>
      </c>
      <c r="B6" s="32">
        <f>AVERAGE(B7:B9)</f>
        <v>303.24761904761903</v>
      </c>
      <c r="C6" s="32">
        <f>AVERAGE(C7:C9)</f>
        <v>284.66666666666669</v>
      </c>
      <c r="D6" s="32">
        <f>AVERAGE(D7:D9)</f>
        <v>117.79166666666667</v>
      </c>
      <c r="E6" s="32">
        <f>AVERAGE(E7:E9)</f>
        <v>122.62222222222222</v>
      </c>
      <c r="F6" s="32">
        <f>AVERAGE(F7:F9)</f>
        <v>116.84848484848486</v>
      </c>
      <c r="G6" s="32">
        <f>AVERAGE(G7:G9)</f>
        <v>191.11055555555558</v>
      </c>
      <c r="H6" s="32">
        <f>AVERAGE(H7:H9)</f>
        <v>368.66666666666669</v>
      </c>
      <c r="I6" s="32">
        <f>AVERAGE(I7:I9)</f>
        <v>142.26666666666668</v>
      </c>
      <c r="J6" s="32">
        <f>AVERAGE(J7:J9)</f>
        <v>165.21428571428569</v>
      </c>
      <c r="K6" s="32">
        <f>AVERAGE(K7:K9)</f>
        <v>326.58333333333331</v>
      </c>
      <c r="L6" s="32">
        <f>AVERAGE(L7:L9)</f>
        <v>117.73809523809524</v>
      </c>
      <c r="M6" s="32">
        <f>AVERAGE(M7:M9)</f>
        <v>413.12666666666672</v>
      </c>
      <c r="N6" s="33">
        <f>AVERAGE(N7:N9)</f>
        <v>0</v>
      </c>
      <c r="O6" s="24"/>
      <c r="P6" s="24"/>
      <c r="Q6" s="24"/>
      <c r="R6" s="24"/>
      <c r="S6" s="24"/>
      <c r="T6" s="24"/>
      <c r="U6" s="23"/>
      <c r="V6" s="23"/>
      <c r="W6" s="23"/>
      <c r="X6" s="23"/>
      <c r="Y6" s="23"/>
      <c r="Z6" s="23"/>
      <c r="AA6" s="23"/>
      <c r="AB6" s="23"/>
      <c r="AC6" s="23"/>
    </row>
    <row r="7" spans="1:29">
      <c r="A7" s="25" t="s">
        <v>16</v>
      </c>
      <c r="B7" s="34">
        <f>[1]Global!AP44</f>
        <v>556</v>
      </c>
      <c r="C7" s="34">
        <f>[1]Global!AQ44</f>
        <v>524</v>
      </c>
      <c r="D7" s="34">
        <f>[1]Global!AR44</f>
        <v>71.875</v>
      </c>
      <c r="E7" s="34">
        <f>[1]Global!AS44</f>
        <v>32.866666666666667</v>
      </c>
      <c r="F7" s="34">
        <f>[1]Global!AT44</f>
        <v>53.545454545454547</v>
      </c>
      <c r="G7" s="34">
        <f>[1]Global!AU44</f>
        <v>9.8316666666666652</v>
      </c>
      <c r="H7" s="34">
        <f>[1]Global!AV44</f>
        <v>646</v>
      </c>
      <c r="I7" s="34">
        <f>[1]Global!AW44</f>
        <v>0.8</v>
      </c>
      <c r="J7" s="34">
        <f>[1]Global!AX44</f>
        <v>235.14285714285714</v>
      </c>
      <c r="K7" s="34">
        <f>[1]Global!AY44</f>
        <v>595.25</v>
      </c>
      <c r="L7" s="34">
        <f>[1]Global!AZ44</f>
        <v>118.71428571428572</v>
      </c>
      <c r="M7" s="34">
        <f>[1]Global!BA44</f>
        <v>1024.8800000000001</v>
      </c>
      <c r="N7" s="35">
        <f>[1]Global!BB44</f>
        <v>0</v>
      </c>
      <c r="O7" s="24"/>
      <c r="P7" s="24"/>
      <c r="Q7" s="24"/>
      <c r="R7" s="24"/>
      <c r="S7" s="24"/>
      <c r="T7" s="24"/>
      <c r="U7" s="23"/>
      <c r="V7" s="23"/>
      <c r="W7" s="23"/>
      <c r="X7" s="23"/>
      <c r="Y7" s="23"/>
      <c r="Z7" s="23"/>
      <c r="AA7" s="23"/>
      <c r="AB7" s="23"/>
      <c r="AC7" s="23"/>
    </row>
    <row r="8" spans="1:29">
      <c r="A8" s="25" t="s">
        <v>17</v>
      </c>
      <c r="B8" s="36">
        <f>[1]Global!AP47</f>
        <v>188</v>
      </c>
      <c r="C8" s="36">
        <f>[1]Global!AQ47</f>
        <v>177</v>
      </c>
      <c r="D8" s="36">
        <f>[1]Global!AR47</f>
        <v>170</v>
      </c>
      <c r="E8" s="36">
        <f>[1]Global!AS47</f>
        <v>164</v>
      </c>
      <c r="F8" s="36">
        <f>[1]Global!AT47</f>
        <v>144</v>
      </c>
      <c r="G8" s="36">
        <f>[1]Global!AU47</f>
        <v>256</v>
      </c>
      <c r="H8" s="36">
        <f>[1]Global!AV47</f>
        <v>210</v>
      </c>
      <c r="I8" s="36">
        <f>[1]Global!AW47</f>
        <v>199</v>
      </c>
      <c r="J8" s="36">
        <f>[1]Global!AX47</f>
        <v>85</v>
      </c>
      <c r="K8" s="36">
        <f>[1]Global!AY47</f>
        <v>152</v>
      </c>
      <c r="L8" s="36">
        <f>[1]Global!AZ47</f>
        <v>96</v>
      </c>
      <c r="M8" s="36">
        <f>[1]Global!BA47</f>
        <v>69</v>
      </c>
      <c r="N8" s="37">
        <f>[1]Global!BB47</f>
        <v>0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>
      <c r="A9" s="25" t="s">
        <v>18</v>
      </c>
      <c r="B9" s="34">
        <f>[1]Global!AP50</f>
        <v>165.74285714285713</v>
      </c>
      <c r="C9" s="34">
        <f>[1]Global!AQ50</f>
        <v>153</v>
      </c>
      <c r="D9" s="34">
        <f>[1]Global!AR50</f>
        <v>111.5</v>
      </c>
      <c r="E9" s="34">
        <f>[1]Global!AS50</f>
        <v>171</v>
      </c>
      <c r="F9" s="34">
        <f>[1]Global!AT50</f>
        <v>153</v>
      </c>
      <c r="G9" s="34">
        <f>[1]Global!AU50</f>
        <v>307.5</v>
      </c>
      <c r="H9" s="34">
        <f>[1]Global!AV50</f>
        <v>250</v>
      </c>
      <c r="I9" s="34">
        <f>[1]Global!AW50</f>
        <v>227</v>
      </c>
      <c r="J9" s="34">
        <f>[1]Global!AX50</f>
        <v>175.5</v>
      </c>
      <c r="K9" s="34">
        <f>[1]Global!AY50</f>
        <v>232.5</v>
      </c>
      <c r="L9" s="34">
        <f>[1]Global!AZ50</f>
        <v>138.5</v>
      </c>
      <c r="M9" s="34">
        <f>[1]Global!BA50</f>
        <v>145.5</v>
      </c>
      <c r="N9" s="35">
        <f>[1]Global!BB50</f>
        <v>0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>
      <c r="A10" s="26" t="s">
        <v>20</v>
      </c>
      <c r="B10" s="40">
        <f t="shared" ref="B10:I10" si="1">AVERAGE(B11:B13)</f>
        <v>0.63819477136918679</v>
      </c>
      <c r="C10" s="40">
        <f t="shared" si="1"/>
        <v>0.67147325888378484</v>
      </c>
      <c r="D10" s="40">
        <f t="shared" si="1"/>
        <v>0.66809750074827889</v>
      </c>
      <c r="E10" s="40">
        <f t="shared" si="1"/>
        <v>0.66221962528642664</v>
      </c>
      <c r="F10" s="40">
        <f t="shared" si="1"/>
        <v>0.62819115614924004</v>
      </c>
      <c r="G10" s="40">
        <f t="shared" si="1"/>
        <v>0.6805690888119954</v>
      </c>
      <c r="H10" s="40">
        <f t="shared" si="1"/>
        <v>0.77349625715543813</v>
      </c>
      <c r="I10" s="40">
        <f t="shared" si="1"/>
        <v>0.73909208819714667</v>
      </c>
      <c r="J10" s="40">
        <f>AVERAGE(J11:J13)</f>
        <v>0.80414629963124951</v>
      </c>
      <c r="K10" s="40">
        <f>AVERAGE(K11:K13)</f>
        <v>0.78285167623325835</v>
      </c>
      <c r="L10" s="40">
        <f>AVERAGE(L11:L13)</f>
        <v>0.81323269130661124</v>
      </c>
      <c r="M10" s="40">
        <f>AVERAGE(M11:M13)</f>
        <v>0.77400000000000002</v>
      </c>
      <c r="N10" s="41">
        <f>AVERAGE(N11:N13)</f>
        <v>0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>
      <c r="A11" s="25" t="s">
        <v>16</v>
      </c>
      <c r="B11" s="42">
        <v>0.93335931410756046</v>
      </c>
      <c r="C11" s="42">
        <v>0.93156977665135432</v>
      </c>
      <c r="D11" s="42">
        <v>0.93804250224483687</v>
      </c>
      <c r="E11" s="42">
        <v>0.91285887585928027</v>
      </c>
      <c r="F11" s="42">
        <v>0.90557346844771991</v>
      </c>
      <c r="G11" s="42">
        <v>0.87110726643598613</v>
      </c>
      <c r="H11" s="42">
        <v>0.99048877146631442</v>
      </c>
      <c r="I11" s="42">
        <v>0.84727626459143968</v>
      </c>
      <c r="J11" s="42">
        <f>[1]Global!AX62</f>
        <v>0.96243889889374834</v>
      </c>
      <c r="K11" s="42">
        <f>[1]Global!AY62</f>
        <v>0.96855502869977539</v>
      </c>
      <c r="L11" s="42">
        <f>[1]Global!AZ62</f>
        <v>0.97969807391983343</v>
      </c>
      <c r="M11" s="42">
        <f>[1]Global!BA62</f>
        <v>0.98199999999999998</v>
      </c>
      <c r="N11" s="43">
        <f>[1]Global!BB62</f>
        <v>0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>
      <c r="A12" s="25" t="s">
        <v>17</v>
      </c>
      <c r="B12" s="44">
        <v>0.65</v>
      </c>
      <c r="C12" s="44">
        <v>0.77</v>
      </c>
      <c r="D12" s="44">
        <v>0.79049999999999998</v>
      </c>
      <c r="E12" s="44">
        <v>0.73</v>
      </c>
      <c r="F12" s="44">
        <v>0.75</v>
      </c>
      <c r="G12" s="44">
        <v>0.68</v>
      </c>
      <c r="H12" s="44">
        <v>0.65</v>
      </c>
      <c r="I12" s="44">
        <v>0.69</v>
      </c>
      <c r="J12" s="44">
        <f>[1]Global!AX63</f>
        <v>0.73</v>
      </c>
      <c r="K12" s="44">
        <f>[1]Global!AY63</f>
        <v>0.66</v>
      </c>
      <c r="L12" s="44">
        <f>[1]Global!AZ63</f>
        <v>0.74</v>
      </c>
      <c r="M12" s="44">
        <f>[1]Global!BA63</f>
        <v>0.62</v>
      </c>
      <c r="N12" s="45">
        <f>[1]Global!BB63</f>
        <v>0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spans="1:29">
      <c r="A13" s="25" t="s">
        <v>18</v>
      </c>
      <c r="B13" s="38">
        <v>0.33122499999999999</v>
      </c>
      <c r="C13" s="38">
        <v>0.31285000000000002</v>
      </c>
      <c r="D13" s="38">
        <v>0.27575</v>
      </c>
      <c r="E13" s="38">
        <v>0.34379999999999999</v>
      </c>
      <c r="F13" s="38">
        <v>0.22900000000000001</v>
      </c>
      <c r="G13" s="38">
        <v>0.49059999999999998</v>
      </c>
      <c r="H13" s="38">
        <v>0.68</v>
      </c>
      <c r="I13" s="38">
        <v>0.68</v>
      </c>
      <c r="J13" s="38">
        <f>[1]Global!AX64</f>
        <v>0.72</v>
      </c>
      <c r="K13" s="38">
        <f>[1]Global!AY64</f>
        <v>0.72</v>
      </c>
      <c r="L13" s="38">
        <f>[1]Global!AZ64</f>
        <v>0.72</v>
      </c>
      <c r="M13" s="38">
        <f>[1]Global!BA64</f>
        <v>0.72</v>
      </c>
      <c r="N13" s="39">
        <f>[1]Global!BB64</f>
        <v>0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spans="1:29">
      <c r="A14" s="26" t="s">
        <v>21</v>
      </c>
      <c r="B14" s="48">
        <f t="shared" ref="B14:I14" si="2">AVERAGE(B15:B17)</f>
        <v>0.60778410400919558</v>
      </c>
      <c r="C14" s="48">
        <f t="shared" si="2"/>
        <v>0.61873246187363828</v>
      </c>
      <c r="D14" s="48">
        <f t="shared" si="2"/>
        <v>0.63358024691358017</v>
      </c>
      <c r="E14" s="48">
        <f t="shared" si="2"/>
        <v>0.69275966183574866</v>
      </c>
      <c r="F14" s="48">
        <f t="shared" si="2"/>
        <v>0.6692678868552413</v>
      </c>
      <c r="G14" s="48">
        <f t="shared" si="2"/>
        <v>0.67522378089512358</v>
      </c>
      <c r="H14" s="48">
        <f t="shared" si="2"/>
        <v>0.67010472238688001</v>
      </c>
      <c r="I14" s="48">
        <f t="shared" si="2"/>
        <v>0.65959758083275155</v>
      </c>
      <c r="J14" s="48">
        <f>AVERAGE(J15:J17)</f>
        <v>0.70873378628783212</v>
      </c>
      <c r="K14" s="48">
        <f>AVERAGE(K15:K17)</f>
        <v>0.68273437499999989</v>
      </c>
      <c r="L14" s="48">
        <f>AVERAGE(L15:L17)</f>
        <v>0.72184133915574966</v>
      </c>
      <c r="M14" s="48">
        <f>AVERAGE(M15:M17)</f>
        <v>0.68333333333333324</v>
      </c>
      <c r="N14" s="49">
        <f>AVERAGE(N15:N17)</f>
        <v>0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>
      <c r="A15" s="25" t="s">
        <v>16</v>
      </c>
      <c r="B15" s="46">
        <v>0.78986175115207369</v>
      </c>
      <c r="C15" s="46">
        <v>0.70179738562091498</v>
      </c>
      <c r="D15" s="46">
        <v>0.76074074074074072</v>
      </c>
      <c r="E15" s="46">
        <v>0.84827898550724634</v>
      </c>
      <c r="F15" s="46">
        <v>0.81780366056572384</v>
      </c>
      <c r="G15" s="46">
        <v>0.83567134268537069</v>
      </c>
      <c r="H15" s="46">
        <v>0.8103141671606402</v>
      </c>
      <c r="I15" s="46">
        <v>0.80879274249825495</v>
      </c>
      <c r="J15" s="46">
        <f>[1]Global!AX72</f>
        <v>0.84620135886349601</v>
      </c>
      <c r="K15" s="46">
        <f>[1]Global!AY72</f>
        <v>0.783203125</v>
      </c>
      <c r="L15" s="46">
        <f>[1]Global!AZ72</f>
        <v>0.92052401746724888</v>
      </c>
      <c r="M15" s="46">
        <f>[1]Global!BA72</f>
        <v>0.87</v>
      </c>
      <c r="N15" s="47">
        <f>[1]Global!BB72</f>
        <v>0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>
      <c r="A16" s="25" t="s">
        <v>17</v>
      </c>
      <c r="B16" s="50">
        <v>0.59</v>
      </c>
      <c r="C16" s="50">
        <v>0.57999999999999996</v>
      </c>
      <c r="D16" s="50">
        <v>0.56999999999999995</v>
      </c>
      <c r="E16" s="50">
        <v>0.66</v>
      </c>
      <c r="F16" s="50">
        <v>0.62</v>
      </c>
      <c r="G16" s="50">
        <v>0.62</v>
      </c>
      <c r="H16" s="50">
        <v>0.63</v>
      </c>
      <c r="I16" s="50">
        <v>0.6</v>
      </c>
      <c r="J16" s="50">
        <f>[1]Global!AX75</f>
        <v>0.68</v>
      </c>
      <c r="K16" s="50">
        <f>[1]Global!AY75</f>
        <v>0.67</v>
      </c>
      <c r="L16" s="50">
        <f>[1]Global!AZ75</f>
        <v>0.68</v>
      </c>
      <c r="M16" s="50">
        <f>[1]Global!BA75</f>
        <v>0.64</v>
      </c>
      <c r="N16" s="51">
        <f>[1]Global!BB75</f>
        <v>0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>
      <c r="A17" s="25" t="s">
        <v>18</v>
      </c>
      <c r="B17" s="52">
        <v>0.44349056087551297</v>
      </c>
      <c r="C17" s="52">
        <v>0.57440000000000002</v>
      </c>
      <c r="D17" s="52">
        <v>0.56999999999999995</v>
      </c>
      <c r="E17" s="52">
        <v>0.56999999999999995</v>
      </c>
      <c r="F17" s="52">
        <v>0.56999999999999995</v>
      </c>
      <c r="G17" s="52">
        <v>0.56999999999999995</v>
      </c>
      <c r="H17" s="52">
        <v>0.56999999999999995</v>
      </c>
      <c r="I17" s="52">
        <v>0.56999999999999995</v>
      </c>
      <c r="J17" s="52">
        <f>[1]Global!AX78</f>
        <v>0.60000000000000009</v>
      </c>
      <c r="K17" s="52">
        <f>[1]Global!AY78</f>
        <v>0.59499999999999997</v>
      </c>
      <c r="L17" s="52">
        <f>[1]Global!AZ78</f>
        <v>0.56499999999999995</v>
      </c>
      <c r="M17" s="52">
        <f>[1]Global!BA78</f>
        <v>0.54</v>
      </c>
      <c r="N17" s="53">
        <f>[1]Global!BB78</f>
        <v>0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20" spans="1:29" ht="15" customHeight="1"/>
    <row r="21" spans="1:29" ht="15" customHeight="1"/>
    <row r="22" spans="1:29" ht="15" customHeight="1"/>
  </sheetData>
  <protectedRanges>
    <protectedRange sqref="B3:N3" name="Range1_12_1" securityDescriptor="O:WDG:WDD:(A;;CC;;;S-1-5-21-854245398-789336058-682003330-919277)(A;;CC;;;S-1-5-21-854245398-789336058-682003330-1704426)"/>
    <protectedRange sqref="B7:N7" name="Range1_13_1" securityDescriptor="O:WDG:WDD:(A;;CC;;;S-1-5-21-854245398-789336058-682003330-919277)(A;;CC;;;S-1-5-21-854245398-789336058-682003330-1704426)"/>
    <protectedRange sqref="B11:N11" name="Range1_14_1" securityDescriptor="O:WDG:WDD:(A;;CC;;;S-1-5-21-854245398-789336058-682003330-919277)(A;;CC;;;S-1-5-21-854245398-789336058-682003330-1704426)"/>
    <protectedRange sqref="B15:N15" name="Range1_15_1" securityDescriptor="O:WDG:WDD:(A;;CC;;;S-1-5-21-854245398-789336058-682003330-919277)(A;;CC;;;S-1-5-21-854245398-789336058-682003330-1704426)"/>
  </protectedRanges>
  <conditionalFormatting sqref="B13:C13 B2:N2">
    <cfRule type="cellIs" dxfId="7" priority="2" operator="greaterThanOrEqual">
      <formula>#REF!</formula>
    </cfRule>
  </conditionalFormatting>
  <conditionalFormatting sqref="I13:N13">
    <cfRule type="cellIs" dxfId="6" priority="6" operator="greaterThanOrEqual">
      <formula>#REF!</formula>
    </cfRule>
  </conditionalFormatting>
  <conditionalFormatting sqref="D13 F13">
    <cfRule type="cellIs" dxfId="5" priority="3" operator="greaterThanOrEqual">
      <formula>#REF!</formula>
    </cfRule>
  </conditionalFormatting>
  <conditionalFormatting sqref="E13">
    <cfRule type="cellIs" dxfId="4" priority="1" operator="greaterThanOrEqual">
      <formula>#REF!</formula>
    </cfRule>
  </conditionalFormatting>
  <conditionalFormatting sqref="G13:H13">
    <cfRule type="cellIs" dxfId="3" priority="4" operator="greaterThanOrEqual">
      <formula>#REF!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C455-19D0-4D71-AEA5-56A008321004}">
  <dimension ref="A1:T40"/>
  <sheetViews>
    <sheetView tabSelected="1" workbookViewId="0">
      <selection sqref="A1:G1048576"/>
    </sheetView>
  </sheetViews>
  <sheetFormatPr defaultColWidth="9.5703125" defaultRowHeight="15" customHeight="1"/>
  <cols>
    <col min="1" max="1" width="40.85546875" bestFit="1" customWidth="1"/>
    <col min="2" max="6" width="9.5703125" customWidth="1"/>
    <col min="7" max="7" width="8.42578125" bestFit="1" customWidth="1"/>
    <col min="15" max="15" width="11.42578125" bestFit="1" customWidth="1"/>
    <col min="16" max="20" width="11.42578125" customWidth="1"/>
  </cols>
  <sheetData>
    <row r="1" spans="1:20" ht="15" customHeight="1">
      <c r="A1" s="73" t="s">
        <v>22</v>
      </c>
    </row>
    <row r="3" spans="1:20" ht="15" customHeight="1">
      <c r="A3" s="62" t="s">
        <v>23</v>
      </c>
      <c r="B3" s="54" t="s">
        <v>24</v>
      </c>
      <c r="C3" s="54" t="s">
        <v>25</v>
      </c>
      <c r="D3" s="54" t="s">
        <v>26</v>
      </c>
      <c r="E3" s="54" t="s">
        <v>27</v>
      </c>
      <c r="F3" s="54" t="s">
        <v>28</v>
      </c>
      <c r="G3" s="54" t="s">
        <v>29</v>
      </c>
      <c r="H3" s="54"/>
      <c r="I3" s="55" t="s">
        <v>30</v>
      </c>
      <c r="J3" s="55" t="s">
        <v>31</v>
      </c>
      <c r="K3" s="55" t="s">
        <v>32</v>
      </c>
      <c r="L3" s="55" t="s">
        <v>33</v>
      </c>
      <c r="M3" s="55" t="s">
        <v>34</v>
      </c>
      <c r="N3" s="55" t="s">
        <v>35</v>
      </c>
      <c r="O3" s="55" t="s">
        <v>36</v>
      </c>
      <c r="P3" s="55" t="s">
        <v>37</v>
      </c>
      <c r="Q3" s="55" t="s">
        <v>38</v>
      </c>
      <c r="R3" s="55" t="s">
        <v>39</v>
      </c>
      <c r="S3" s="55" t="s">
        <v>40</v>
      </c>
      <c r="T3" s="55" t="s">
        <v>41</v>
      </c>
    </row>
    <row r="4" spans="1:20">
      <c r="A4" t="s">
        <v>42</v>
      </c>
      <c r="B4" s="56">
        <f>SUM([1]Global!N18:P18)</f>
        <v>67872</v>
      </c>
      <c r="C4" s="56">
        <f>SUM([1]Global!Q18:S18)</f>
        <v>60790</v>
      </c>
      <c r="D4" s="57">
        <f>SUM(B4:C4)</f>
        <v>128662</v>
      </c>
      <c r="E4" s="56">
        <f>SUM([1]Global!T18:V18)</f>
        <v>68676</v>
      </c>
      <c r="F4" s="56">
        <f>SUM([1]Global!W18:Y18)</f>
        <v>65941</v>
      </c>
      <c r="G4" s="57">
        <f>SUM(E4:F4)</f>
        <v>134617</v>
      </c>
      <c r="H4" s="57"/>
      <c r="I4" s="56">
        <f>SUM([1]Global!Z18:AB18)</f>
        <v>68773</v>
      </c>
      <c r="J4" s="56">
        <f>SUM([1]Global!AC18:AE18)</f>
        <v>59327</v>
      </c>
      <c r="K4" s="58">
        <f>SUM(I4:J4)</f>
        <v>128100</v>
      </c>
      <c r="L4" s="56">
        <f>SUM([1]Global!AF18:AH18)</f>
        <v>54462</v>
      </c>
      <c r="M4" s="56">
        <f>SUM([1]Global!AI18:AK18)</f>
        <v>55652</v>
      </c>
      <c r="N4" s="58">
        <f>SUM(L4:M4)</f>
        <v>110114</v>
      </c>
      <c r="O4" s="58">
        <f>SUM([1]Global!AP18:AR18)</f>
        <v>51074</v>
      </c>
      <c r="P4" s="58">
        <f>SUM([1]Global!AS18:AU18)</f>
        <v>63650</v>
      </c>
      <c r="Q4" s="58">
        <f>SUM(O4:P4)</f>
        <v>114724</v>
      </c>
      <c r="R4" s="58">
        <f>SUM([1]Global!AV18:AX18)</f>
        <v>69749</v>
      </c>
      <c r="S4" s="58">
        <f>SUM([1]Global!AY18:BA18)</f>
        <v>61794</v>
      </c>
      <c r="T4" s="58">
        <f>SUM(R4:S4)</f>
        <v>131543</v>
      </c>
    </row>
    <row r="5" spans="1:20" ht="15" customHeight="1">
      <c r="A5" t="s">
        <v>43</v>
      </c>
      <c r="B5" s="56">
        <f>SUM([1]Global!N19:P19)</f>
        <v>55064</v>
      </c>
      <c r="C5" s="56">
        <f>SUM([1]Global!Q19:S19)</f>
        <v>48463</v>
      </c>
      <c r="D5" s="57">
        <f>SUM(B5:C5)</f>
        <v>103527</v>
      </c>
      <c r="E5" s="56">
        <f>SUM([1]Global!T19:V19)</f>
        <v>54225</v>
      </c>
      <c r="F5" s="56">
        <f>SUM([1]Global!W19:Y19)</f>
        <v>53382</v>
      </c>
      <c r="G5" s="57">
        <f>SUM(E5:F5)</f>
        <v>107607</v>
      </c>
      <c r="H5" s="57"/>
      <c r="I5" s="56">
        <f>SUM([1]Global!Z19:AB19)</f>
        <v>54300</v>
      </c>
      <c r="J5" s="56">
        <f>SUM([1]Global!AC19:AE19)</f>
        <v>46842</v>
      </c>
      <c r="K5" s="58">
        <f>SUM(I5:J5)</f>
        <v>101142</v>
      </c>
      <c r="L5" s="56">
        <f>SUM([1]Global!AF19:AH19)</f>
        <v>37798</v>
      </c>
      <c r="M5" s="56">
        <f>SUM([1]Global!AI19:AK19)</f>
        <v>45587</v>
      </c>
      <c r="N5" s="58">
        <f>SUM(L5:M5)</f>
        <v>83385</v>
      </c>
      <c r="O5" s="58">
        <f>SUM([1]Global!AP19:AR19)</f>
        <v>43484</v>
      </c>
      <c r="P5" s="58">
        <f>SUM([1]Global!AS19:AU19)</f>
        <v>51920</v>
      </c>
      <c r="Q5" s="58">
        <f>SUM(O5:P5)</f>
        <v>95404</v>
      </c>
      <c r="R5" s="58">
        <f>SUM([1]Global!AV19:AX19)</f>
        <v>56934</v>
      </c>
      <c r="S5" s="58">
        <f>SUM([1]Global!AY19:BA19)</f>
        <v>46436</v>
      </c>
      <c r="T5" s="58">
        <f t="shared" ref="T5:T6" si="0">SUM(R5:S5)</f>
        <v>103370</v>
      </c>
    </row>
    <row r="6" spans="1:20" ht="15" customHeight="1">
      <c r="A6" t="s">
        <v>44</v>
      </c>
      <c r="B6" s="56">
        <f>SUM([1]Global!N20:P20)</f>
        <v>12808</v>
      </c>
      <c r="C6" s="56">
        <f>SUM([1]Global!Q20:S20)</f>
        <v>12327</v>
      </c>
      <c r="D6" s="57">
        <f>SUM(B6:C6)</f>
        <v>25135</v>
      </c>
      <c r="E6" s="56">
        <f>SUM([1]Global!T20:V20)</f>
        <v>14451</v>
      </c>
      <c r="F6" s="56">
        <f>SUM([1]Global!W20:Y20)</f>
        <v>12559</v>
      </c>
      <c r="G6" s="57">
        <f>SUM(E6:F6)</f>
        <v>27010</v>
      </c>
      <c r="H6" s="57"/>
      <c r="I6" s="56">
        <f>SUM([1]Global!Z20:AB20)</f>
        <v>14473</v>
      </c>
      <c r="J6" s="56">
        <f>SUM([1]Global!AC20:AE20)</f>
        <v>12485</v>
      </c>
      <c r="K6" s="58">
        <f>SUM(I6:J6)</f>
        <v>26958</v>
      </c>
      <c r="L6" s="56">
        <f>SUM([1]Global!AF20:AH20)</f>
        <v>15115</v>
      </c>
      <c r="M6" s="56">
        <f>SUM([1]Global!AI20:AK20)</f>
        <v>10308</v>
      </c>
      <c r="N6" s="58">
        <f>SUM(L6:M6)</f>
        <v>25423</v>
      </c>
      <c r="O6" s="58">
        <f>SUM([1]Global!AP20:AR20)</f>
        <v>7749</v>
      </c>
      <c r="P6" s="58">
        <f>SUM([1]Global!AS20:AU20)</f>
        <v>9466</v>
      </c>
      <c r="Q6" s="58">
        <f>SUM(O6:P6)</f>
        <v>17215</v>
      </c>
      <c r="R6" s="58">
        <f>SUM([1]Global!AV20:AX20)</f>
        <v>13937</v>
      </c>
      <c r="S6" s="58">
        <f>SUM([1]Global!AY20:BA20)</f>
        <v>14341</v>
      </c>
      <c r="T6" s="58">
        <f t="shared" si="0"/>
        <v>28278</v>
      </c>
    </row>
    <row r="7" spans="1:20" ht="15" customHeight="1">
      <c r="A7" t="s">
        <v>45</v>
      </c>
      <c r="B7" s="60">
        <f>AVERAGE([1]Global!N34:P34)</f>
        <v>0.91900000000000004</v>
      </c>
      <c r="C7" s="60">
        <f>AVERAGE([1]Global!Q34:S34)</f>
        <v>0.90098333333333336</v>
      </c>
      <c r="D7" s="63">
        <f>AVERAGE(B7:C7)</f>
        <v>0.90999166666666675</v>
      </c>
      <c r="E7" s="60">
        <f>AVERAGE([1]Global!T34:V34)</f>
        <v>0.95335000000000003</v>
      </c>
      <c r="F7" s="60">
        <f>AVERAGE([1]Global!W34:Y34)</f>
        <v>0.91575000000000006</v>
      </c>
      <c r="G7" s="63">
        <f>AVERAGE(E7:F7)</f>
        <v>0.93454999999999999</v>
      </c>
      <c r="H7" s="63"/>
      <c r="I7" s="60">
        <f>AVERAGE([1]Global!Z34:AB34)</f>
        <v>0.88666666666666671</v>
      </c>
      <c r="J7" s="60">
        <f>AVERAGE([1]Global!AC34:AE34)</f>
        <v>0.89366666666666672</v>
      </c>
      <c r="K7" s="63">
        <f>AVERAGE(I7:J7)</f>
        <v>0.89016666666666677</v>
      </c>
      <c r="L7" s="60">
        <f>AVERAGE([1]Global!AF34:AH34)</f>
        <v>0.91021666666666656</v>
      </c>
      <c r="M7" s="60">
        <f>AVERAGE([1]Global!AI34:AK34)</f>
        <v>0.90248333333333319</v>
      </c>
      <c r="N7" s="63">
        <f>AVERAGE(L7:M7)</f>
        <v>0.90634999999999988</v>
      </c>
      <c r="O7" s="63">
        <f>AVERAGE([1]Global!AP34:AR34)</f>
        <v>0.90021954022988504</v>
      </c>
      <c r="P7" s="63">
        <f>AVERAGE([1]Global!AS34:AU34)</f>
        <v>0.84768333333333334</v>
      </c>
      <c r="Q7" s="63">
        <f>AVERAGE(O7:P7)</f>
        <v>0.87395143678160925</v>
      </c>
      <c r="R7" s="63">
        <f>AVERAGE([1]Global!AV34:AX34)</f>
        <v>0.91600000000000004</v>
      </c>
      <c r="S7" s="63">
        <f>AVERAGE([1]Global!AY34:BA34)</f>
        <v>0.89290000000000003</v>
      </c>
      <c r="T7" s="63">
        <f>AVERAGE(R7:S7)</f>
        <v>0.90444999999999998</v>
      </c>
    </row>
    <row r="8" spans="1:20" ht="15" customHeight="1">
      <c r="A8" t="s">
        <v>46</v>
      </c>
      <c r="B8" s="16">
        <f>AVERAGE([1]Global!N50:P50)</f>
        <v>935.80666666666673</v>
      </c>
      <c r="C8" s="16">
        <f>AVERAGE([1]Global!Q50:S50)</f>
        <v>724.71833333333325</v>
      </c>
      <c r="D8" s="68">
        <f>AVERAGE(B8:C8)</f>
        <v>830.26250000000005</v>
      </c>
      <c r="E8" s="16">
        <f>AVERAGE([1]Global!T50:V50)</f>
        <v>592.40500000000009</v>
      </c>
      <c r="F8" s="16">
        <f>AVERAGE([1]Global!W50:Y50)</f>
        <v>476.07999999999993</v>
      </c>
      <c r="G8" s="68">
        <f>AVERAGE(E8:F8)</f>
        <v>534.24250000000006</v>
      </c>
      <c r="H8" s="68"/>
      <c r="I8" s="16">
        <f>AVERAGE([1]Global!Z50:AB50)</f>
        <v>506.65166666666664</v>
      </c>
      <c r="J8" s="16">
        <f>AVERAGE([1]Global!AC50:AE50)</f>
        <v>521.51833333333332</v>
      </c>
      <c r="K8" s="68">
        <f>AVERAGE(I8:J8)</f>
        <v>514.08500000000004</v>
      </c>
      <c r="L8" s="16">
        <f>AVERAGE([1]Global!AF50:AH50)</f>
        <v>164.32666666666668</v>
      </c>
      <c r="M8" s="16">
        <f>AVERAGE([1]Global!AI50:AK50)</f>
        <v>249.60333333333335</v>
      </c>
      <c r="N8" s="68">
        <f>AVERAGE(L8:M8)</f>
        <v>206.96500000000003</v>
      </c>
      <c r="O8" s="68">
        <f>AVERAGE([1]Global!AP50:AR50)</f>
        <v>143.41428571428571</v>
      </c>
      <c r="P8" s="68">
        <f>AVERAGE([1]Global!AS50:AU50)</f>
        <v>210.5</v>
      </c>
      <c r="Q8" s="68">
        <f>AVERAGE(O8:P8)</f>
        <v>176.95714285714286</v>
      </c>
      <c r="R8" s="69">
        <f>AVERAGE([1]Global!AV50:AX50)</f>
        <v>217.5</v>
      </c>
      <c r="S8" s="69">
        <f>AVERAGE([1]Global!AY50:BA50)</f>
        <v>172.16666666666666</v>
      </c>
      <c r="T8" s="70">
        <f>AVERAGE(R8:S8)</f>
        <v>194.83333333333331</v>
      </c>
    </row>
    <row r="9" spans="1:20" ht="15" customHeight="1">
      <c r="A9" t="s">
        <v>47</v>
      </c>
      <c r="B9" s="59">
        <f>AVERAGE([1]Global!N78:P78)</f>
        <v>0.45855000000000001</v>
      </c>
      <c r="C9" s="59">
        <f>AVERAGE([1]Global!Q78:S78)</f>
        <v>0.42913333333333337</v>
      </c>
      <c r="D9" s="61">
        <f>AVERAGE(B9:C9)</f>
        <v>0.44384166666666669</v>
      </c>
      <c r="E9" s="59">
        <f>AVERAGE([1]Global!T78:V78)</f>
        <v>0.42643333333333339</v>
      </c>
      <c r="F9" s="59">
        <f>AVERAGE([1]Global!W78:Y78)</f>
        <v>0.43468333333333337</v>
      </c>
      <c r="G9" s="61">
        <f>AVERAGE(E9:F9)</f>
        <v>0.43055833333333338</v>
      </c>
      <c r="H9" s="61"/>
      <c r="I9" s="59">
        <f>AVERAGE([1]Global!Z78:AB78)</f>
        <v>0.47431666666666666</v>
      </c>
      <c r="J9" s="59">
        <f>AVERAGE([1]Global!AC78:AE78)</f>
        <v>0.47065000000000001</v>
      </c>
      <c r="K9" s="61">
        <f>AVERAGE(I9:J9)</f>
        <v>0.47248333333333337</v>
      </c>
      <c r="L9" s="59">
        <f>AVERAGE([1]Global!AF78:AH78)</f>
        <v>0.38836666666666669</v>
      </c>
      <c r="M9" s="59">
        <f>AVERAGE([1]Global!AI78:AK78)</f>
        <v>0.46788333333333326</v>
      </c>
      <c r="N9" s="61">
        <f>AVERAGE(L9:M9)</f>
        <v>0.42812499999999998</v>
      </c>
      <c r="O9" s="61">
        <f>AVERAGE([1]Global!AP78:AR78)</f>
        <v>0.52929685362517098</v>
      </c>
      <c r="P9" s="61">
        <f>AVERAGE([1]Global!AS78:AU78)</f>
        <v>0.56999999999999995</v>
      </c>
      <c r="Q9" s="61">
        <f>AVERAGE(O9:P9)</f>
        <v>0.54964842681258541</v>
      </c>
      <c r="R9" s="65">
        <f>AVERAGE([1]Global!AV78:AX78)</f>
        <v>0.57999999999999996</v>
      </c>
      <c r="S9" s="65">
        <f>AVERAGE([1]Global!AY78:BA78)</f>
        <v>0.56666666666666665</v>
      </c>
      <c r="T9" s="65">
        <f t="shared" ref="T9:T11" si="1">AVERAGE(R9:S9)</f>
        <v>0.57333333333333325</v>
      </c>
    </row>
    <row r="10" spans="1:20">
      <c r="A10" t="s">
        <v>48</v>
      </c>
      <c r="B10" s="60">
        <f>AVERAGE([1]Global!N64:P64)</f>
        <v>0.53316666666666668</v>
      </c>
      <c r="C10" s="60">
        <f>AVERAGE([1]Global!Q64:S64)</f>
        <v>0.505</v>
      </c>
      <c r="D10" s="61">
        <f>AVERAGE(B10:C10)</f>
        <v>0.51908333333333334</v>
      </c>
      <c r="E10" s="60">
        <f>AVERAGE([1]Global!T64:V64)</f>
        <v>0.49133333333333334</v>
      </c>
      <c r="F10" s="60">
        <f>AVERAGE([1]Global!W64:Y64)</f>
        <v>0.40833333333333338</v>
      </c>
      <c r="G10" s="61">
        <f>AVERAGE(E10:F10)</f>
        <v>0.44983333333333336</v>
      </c>
      <c r="H10" s="61"/>
      <c r="I10" s="60">
        <f>AVERAGE([1]Global!Z64:AB64)</f>
        <v>0.59050000000000002</v>
      </c>
      <c r="J10" s="60">
        <f>AVERAGE([1]Global!AC64:AE64)</f>
        <v>0.56483333333333341</v>
      </c>
      <c r="K10" s="61">
        <f>AVERAGE(I10:J10)</f>
        <v>0.57766666666666677</v>
      </c>
      <c r="L10" s="60">
        <f>AVERAGE([1]Global!AF64:AH64)</f>
        <v>0.55274999999999996</v>
      </c>
      <c r="M10" s="60">
        <f>AVERAGE([1]Global!AI64:AK64)</f>
        <v>0.30133333333333334</v>
      </c>
      <c r="N10" s="61">
        <f>AVERAGE(L10:M10)</f>
        <v>0.42704166666666665</v>
      </c>
      <c r="O10" s="61">
        <f>AVERAGE([1]Global!AP64:AR64)</f>
        <v>0.30660833333333332</v>
      </c>
      <c r="P10" s="61">
        <f>AVERAGE([1]Global!AS64:AU64)</f>
        <v>0.35446666666666665</v>
      </c>
      <c r="Q10" s="61">
        <f>AVERAGE(O10:P10)</f>
        <v>0.33053749999999998</v>
      </c>
      <c r="R10" s="65">
        <f>AVERAGE([1]Global!AV64:AX64)</f>
        <v>0.69333333333333336</v>
      </c>
      <c r="S10" s="65">
        <f>AVERAGE([1]Global!AY64:BA64)</f>
        <v>0.72000000000000008</v>
      </c>
      <c r="T10" s="65">
        <f t="shared" si="1"/>
        <v>0.70666666666666678</v>
      </c>
    </row>
    <row r="11" spans="1:20">
      <c r="A11" t="s">
        <v>49</v>
      </c>
      <c r="B11" s="60">
        <f>AVERAGE([1]Global!N58:P58)</f>
        <v>0.12333333333333334</v>
      </c>
      <c r="C11" s="60">
        <f>AVERAGE([1]Global!Q58:S58)</f>
        <v>0.21666666666666667</v>
      </c>
      <c r="D11" s="61">
        <f>AVERAGE(B11:C11)</f>
        <v>0.17</v>
      </c>
      <c r="E11" s="60">
        <f>AVERAGE([1]Global!T58:V58)</f>
        <v>0.15666666666666668</v>
      </c>
      <c r="F11" s="60">
        <f>AVERAGE([1]Global!W58:Y58)</f>
        <v>0.17</v>
      </c>
      <c r="G11" s="61">
        <f>AVERAGE(E11:F11)</f>
        <v>0.16333333333333333</v>
      </c>
      <c r="H11" s="61"/>
      <c r="I11" s="60">
        <f>AVERAGE([1]Global!Z58:AB58)</f>
        <v>0.16333333333333333</v>
      </c>
      <c r="J11" s="60">
        <f>AVERAGE([1]Global!AC58:AE58)</f>
        <v>0.25666666666666665</v>
      </c>
      <c r="K11" s="61">
        <f>AVERAGE(I11:J11)</f>
        <v>0.21</v>
      </c>
      <c r="L11" s="60">
        <f>AVERAGE([1]Global!AF58:AH58)</f>
        <v>9.1700000000000004E-2</v>
      </c>
      <c r="M11" s="60">
        <f>AVERAGE([1]Global!AI58:AK58)</f>
        <v>6.9966666666666663E-2</v>
      </c>
      <c r="N11" s="61">
        <f>AVERAGE(L11:M11)</f>
        <v>8.083333333333334E-2</v>
      </c>
      <c r="O11" s="61">
        <f>AVERAGE([1]Global!AP58:AR58)</f>
        <v>5.4368857985672148E-2</v>
      </c>
      <c r="P11" s="61">
        <f>AVERAGE([1]Global!AS58:AU58)</f>
        <v>6.6666666666666666E-2</v>
      </c>
      <c r="Q11" s="61">
        <f>AVERAGE(O11:P11)</f>
        <v>6.0517762326169407E-2</v>
      </c>
      <c r="R11" s="65">
        <f>AVERAGE([1]Global!AV58:AX58)</f>
        <v>6.6666666666666666E-2</v>
      </c>
      <c r="S11" s="65">
        <f>AVERAGE([1]Global!AY58:BA58)</f>
        <v>0.03</v>
      </c>
      <c r="T11" s="65">
        <f t="shared" si="1"/>
        <v>4.8333333333333332E-2</v>
      </c>
    </row>
    <row r="12" spans="1:20">
      <c r="A12" t="s">
        <v>50</v>
      </c>
      <c r="B12" s="60"/>
      <c r="C12" s="60"/>
      <c r="D12" s="66">
        <v>8.5</v>
      </c>
      <c r="E12" s="60"/>
      <c r="F12" s="60"/>
      <c r="G12" s="66">
        <v>8.1999999999999993</v>
      </c>
      <c r="H12" s="66"/>
      <c r="I12" s="60"/>
      <c r="J12" s="60"/>
      <c r="K12" s="66">
        <v>7.9</v>
      </c>
      <c r="L12" s="60"/>
      <c r="M12" s="60"/>
      <c r="N12" s="66">
        <v>8.1999999999999993</v>
      </c>
      <c r="O12" s="66"/>
      <c r="P12" s="66"/>
      <c r="Q12" s="66">
        <v>8.6</v>
      </c>
      <c r="R12" s="67"/>
      <c r="S12" s="67"/>
      <c r="T12" s="67">
        <v>8.4</v>
      </c>
    </row>
    <row r="13" spans="1:20">
      <c r="B13" s="60"/>
      <c r="C13" s="60"/>
      <c r="D13" s="61"/>
      <c r="E13" s="60"/>
      <c r="F13" s="60"/>
      <c r="G13" s="61"/>
      <c r="H13" s="61"/>
      <c r="I13" s="60"/>
      <c r="J13" s="60"/>
      <c r="K13" s="61"/>
      <c r="L13" s="60"/>
      <c r="M13" s="60"/>
      <c r="N13" s="61"/>
      <c r="O13" s="61"/>
      <c r="P13" s="61"/>
      <c r="Q13" s="61"/>
      <c r="R13" s="61"/>
      <c r="S13" s="61"/>
      <c r="T13" s="61"/>
    </row>
    <row r="14" spans="1:20">
      <c r="A14" s="62" t="s">
        <v>51</v>
      </c>
      <c r="B14" s="54" t="s">
        <v>24</v>
      </c>
      <c r="C14" s="54" t="s">
        <v>25</v>
      </c>
      <c r="D14" s="54" t="s">
        <v>26</v>
      </c>
      <c r="E14" s="54" t="s">
        <v>27</v>
      </c>
      <c r="F14" s="54" t="s">
        <v>28</v>
      </c>
      <c r="G14" s="54" t="s">
        <v>29</v>
      </c>
      <c r="H14" s="54"/>
      <c r="I14" s="55" t="s">
        <v>30</v>
      </c>
      <c r="J14" s="55" t="s">
        <v>31</v>
      </c>
      <c r="K14" s="55" t="s">
        <v>32</v>
      </c>
      <c r="L14" s="55" t="s">
        <v>33</v>
      </c>
      <c r="M14" s="55" t="s">
        <v>34</v>
      </c>
      <c r="N14" s="55" t="s">
        <v>35</v>
      </c>
      <c r="O14" s="55" t="s">
        <v>36</v>
      </c>
      <c r="P14" s="55" t="s">
        <v>37</v>
      </c>
      <c r="Q14" s="55" t="s">
        <v>38</v>
      </c>
      <c r="R14" s="55" t="s">
        <v>39</v>
      </c>
      <c r="S14" s="55" t="s">
        <v>40</v>
      </c>
      <c r="T14" s="55" t="s">
        <v>41</v>
      </c>
    </row>
    <row r="15" spans="1:20">
      <c r="A15" t="s">
        <v>42</v>
      </c>
      <c r="B15" s="56">
        <f>SUM([1]Global!N15:P15)</f>
        <v>108952</v>
      </c>
      <c r="C15" s="56">
        <f>SUM([1]Global!Q15:S15)</f>
        <v>96820</v>
      </c>
      <c r="D15" s="57">
        <f>SUM(B15:C15)</f>
        <v>205772</v>
      </c>
      <c r="E15" s="56">
        <f>SUM([1]Global!T15:V15)</f>
        <v>100925</v>
      </c>
      <c r="F15" s="56">
        <f>SUM([1]Global!W15:Y15)</f>
        <v>92864</v>
      </c>
      <c r="G15" s="57">
        <f>SUM(E15:F15)</f>
        <v>193789</v>
      </c>
      <c r="H15" s="57"/>
      <c r="I15" s="56">
        <f>SUM([1]Global!Z15:AB15)</f>
        <v>87402</v>
      </c>
      <c r="J15" s="56">
        <f>SUM([1]Global!AC15:AE15)</f>
        <v>96438</v>
      </c>
      <c r="K15" s="58">
        <f>SUM(I15:J15)</f>
        <v>183840</v>
      </c>
      <c r="L15" s="56">
        <f>SUM([1]Global!AF15:AH15)</f>
        <v>87113</v>
      </c>
      <c r="M15" s="56">
        <f>SUM([1]Global!AI15:AK15)</f>
        <v>84082</v>
      </c>
      <c r="N15" s="58">
        <f>SUM(L15:M15)</f>
        <v>171195</v>
      </c>
      <c r="O15" s="58">
        <f>SUM([1]Global!AP15:AR15)</f>
        <v>84897</v>
      </c>
      <c r="P15" s="58">
        <f>SUM([1]Global!AS15:AU15)</f>
        <v>82822</v>
      </c>
      <c r="Q15" s="58">
        <f>SUM(O15:P15)</f>
        <v>167719</v>
      </c>
      <c r="R15" s="58">
        <f>SUM([1]Global!AV15:AX15)</f>
        <v>76833</v>
      </c>
      <c r="S15" s="58">
        <f>SUM([1]Global!AY15:BA15)</f>
        <v>88798</v>
      </c>
      <c r="T15" s="58">
        <f>SUM(R15:S15)</f>
        <v>165631</v>
      </c>
    </row>
    <row r="16" spans="1:20">
      <c r="A16" t="s">
        <v>43</v>
      </c>
      <c r="B16" s="56">
        <f>SUM([1]Global!N16:P16)</f>
        <v>86147</v>
      </c>
      <c r="C16" s="56">
        <f>SUM([1]Global!Q16:S16)</f>
        <v>81553</v>
      </c>
      <c r="D16" s="57">
        <f>SUM(B16:C16)</f>
        <v>167700</v>
      </c>
      <c r="E16" s="56">
        <f>SUM([1]Global!T16:V16)</f>
        <v>84931</v>
      </c>
      <c r="F16" s="56">
        <f>SUM([1]Global!W16:Y16)</f>
        <v>78776</v>
      </c>
      <c r="G16" s="57">
        <f>SUM(E16:F16)</f>
        <v>163707</v>
      </c>
      <c r="H16" s="57"/>
      <c r="I16" s="56">
        <f>SUM([1]Global!Z16:AB16)</f>
        <v>73224</v>
      </c>
      <c r="J16" s="56">
        <f>SUM([1]Global!AC16:AE16)</f>
        <v>78898</v>
      </c>
      <c r="K16" s="58">
        <f>SUM(I16:J16)</f>
        <v>152122</v>
      </c>
      <c r="L16" s="56">
        <f>SUM([1]Global!AF16:AH16)</f>
        <v>68449</v>
      </c>
      <c r="M16" s="56">
        <f>SUM([1]Global!AI16:AK16)</f>
        <v>63668</v>
      </c>
      <c r="N16" s="58">
        <f>SUM(L16:M16)</f>
        <v>132117</v>
      </c>
      <c r="O16" s="58">
        <f>SUM([1]Global!AP16:AR16)</f>
        <v>59842</v>
      </c>
      <c r="P16" s="58">
        <f>SUM([1]Global!AS16:AU16)</f>
        <v>60455</v>
      </c>
      <c r="Q16" s="58">
        <f>SUM(O16:P16)</f>
        <v>120297</v>
      </c>
      <c r="R16" s="58">
        <f>SUM([1]Global!AV16:AX16)</f>
        <v>51917</v>
      </c>
      <c r="S16" s="58">
        <f>SUM([1]Global!AY16:BA16)</f>
        <v>64902</v>
      </c>
      <c r="T16" s="58">
        <f t="shared" ref="T16:T17" si="2">SUM(R16:S16)</f>
        <v>116819</v>
      </c>
    </row>
    <row r="17" spans="1:20">
      <c r="A17" t="s">
        <v>44</v>
      </c>
      <c r="B17" s="56">
        <f>SUM([1]Global!N17:P17)</f>
        <v>22805</v>
      </c>
      <c r="C17" s="56">
        <f>SUM([1]Global!Q17:S17)</f>
        <v>15267</v>
      </c>
      <c r="D17" s="57">
        <f>SUM(B17:C17)</f>
        <v>38072</v>
      </c>
      <c r="E17" s="56">
        <f>SUM([1]Global!T17:V17)</f>
        <v>15994</v>
      </c>
      <c r="F17" s="56">
        <f>SUM([1]Global!W17:Y17)</f>
        <v>14088</v>
      </c>
      <c r="G17" s="57">
        <f>SUM(E17:F17)</f>
        <v>30082</v>
      </c>
      <c r="H17" s="57"/>
      <c r="I17" s="56">
        <f>SUM([1]Global!Z17:AB17)</f>
        <v>14178</v>
      </c>
      <c r="J17" s="56">
        <f>SUM([1]Global!AC17:AE17)</f>
        <v>17540</v>
      </c>
      <c r="K17" s="58">
        <f>SUM(I17:J17)</f>
        <v>31718</v>
      </c>
      <c r="L17" s="56">
        <f>SUM([1]Global!AF17:AH17)</f>
        <v>18664</v>
      </c>
      <c r="M17" s="56">
        <f>SUM([1]Global!AI17:AK17)</f>
        <v>20414</v>
      </c>
      <c r="N17" s="58">
        <f>SUM(L17:M17)</f>
        <v>39078</v>
      </c>
      <c r="O17" s="58">
        <f>SUM([1]Global!AP17:AR17)</f>
        <v>25055</v>
      </c>
      <c r="P17" s="58">
        <f>SUM([1]Global!AS17:AU17)</f>
        <v>22367</v>
      </c>
      <c r="Q17" s="58">
        <f>SUM(O17:P17)</f>
        <v>47422</v>
      </c>
      <c r="R17" s="58">
        <f>SUM([1]Global!AV17:AX17)</f>
        <v>24916</v>
      </c>
      <c r="S17" s="58">
        <f>SUM([1]Global!AY17:BA17)</f>
        <v>23896</v>
      </c>
      <c r="T17" s="58">
        <f t="shared" si="2"/>
        <v>48812</v>
      </c>
    </row>
    <row r="18" spans="1:20">
      <c r="A18" t="s">
        <v>52</v>
      </c>
      <c r="B18" s="60">
        <f>AVERAGE([1]Global!N31:P31)</f>
        <v>0.86333333333333329</v>
      </c>
      <c r="C18" s="60">
        <f>AVERAGE([1]Global!Q31:S31)</f>
        <v>0.81</v>
      </c>
      <c r="D18" s="63">
        <f>AVERAGE(B18:C18)</f>
        <v>0.83666666666666667</v>
      </c>
      <c r="E18" s="60">
        <f>AVERAGE([1]Global!T31:V31)</f>
        <v>0.80666666666666664</v>
      </c>
      <c r="F18" s="60">
        <f>AVERAGE([1]Global!W31:Y31)</f>
        <v>0.84333333333333327</v>
      </c>
      <c r="G18" s="63">
        <f>AVERAGE(E18:F18)</f>
        <v>0.82499999999999996</v>
      </c>
      <c r="H18" s="63"/>
      <c r="I18" s="60">
        <f>AVERAGE([1]Global!Z31:AB31)</f>
        <v>0.87</v>
      </c>
      <c r="J18" s="60">
        <f>AVERAGE([1]Global!AC31:AE31)</f>
        <v>0.86333333333333329</v>
      </c>
      <c r="K18" s="63">
        <f>AVERAGE(I18:J18)</f>
        <v>0.8666666666666667</v>
      </c>
      <c r="L18" s="60">
        <f>AVERAGE([1]Global!AF31:AH31)</f>
        <v>0.86</v>
      </c>
      <c r="M18" s="60">
        <f>AVERAGE([1]Global!AI31:AK31)</f>
        <v>0.88666666666666671</v>
      </c>
      <c r="N18" s="63">
        <f>AVERAGE(L18:M18)</f>
        <v>0.87333333333333329</v>
      </c>
      <c r="O18" s="63">
        <f>AVERAGE([1]Global!AP31:AR31)</f>
        <v>0.8833333333333333</v>
      </c>
      <c r="P18" s="63">
        <f>AVERAGE([1]Global!AS31:AU31)</f>
        <v>0.90666666666666662</v>
      </c>
      <c r="Q18" s="63">
        <f>AVERAGE(O18:P18)</f>
        <v>0.89500000000000002</v>
      </c>
      <c r="R18" s="63">
        <f>AVERAGE([1]Global!AV31:AX31)</f>
        <v>0.93333333333333324</v>
      </c>
      <c r="S18" s="63">
        <f>AVERAGE([1]Global!AY31:BA31)</f>
        <v>0.8666666666666667</v>
      </c>
      <c r="T18" s="63">
        <f>AVERAGE(R18:S18)</f>
        <v>0.89999999999999991</v>
      </c>
    </row>
    <row r="19" spans="1:20">
      <c r="A19" t="s">
        <v>46</v>
      </c>
      <c r="B19" s="16">
        <f>AVERAGE([1]Global!N47:P47)</f>
        <v>434.66666666666669</v>
      </c>
      <c r="C19" s="16">
        <f>AVERAGE([1]Global!Q47:S47)</f>
        <v>446.66666666666669</v>
      </c>
      <c r="D19" s="68">
        <f>AVERAGE(B19:C19)</f>
        <v>440.66666666666669</v>
      </c>
      <c r="E19" s="16">
        <f>AVERAGE([1]Global!T47:V47)</f>
        <v>862.33333333333337</v>
      </c>
      <c r="F19" s="16">
        <f>AVERAGE([1]Global!W47:Y47)</f>
        <v>290</v>
      </c>
      <c r="G19" s="68">
        <f>AVERAGE(E19:F19)</f>
        <v>576.16666666666674</v>
      </c>
      <c r="H19" s="68"/>
      <c r="I19" s="16">
        <f>AVERAGE([1]Global!Z47:AB47)</f>
        <v>418</v>
      </c>
      <c r="J19" s="16">
        <f>AVERAGE([1]Global!AC47:AE47)</f>
        <v>244</v>
      </c>
      <c r="K19" s="68">
        <f>AVERAGE(I19:J19)</f>
        <v>331</v>
      </c>
      <c r="L19" s="16">
        <f>AVERAGE([1]Global!AF47:AH47)</f>
        <v>223.66666666666666</v>
      </c>
      <c r="M19" s="16">
        <f>AVERAGE([1]Global!AI47:AK47)</f>
        <v>210.66666666666666</v>
      </c>
      <c r="N19" s="68">
        <f>AVERAGE(L19:M19)</f>
        <v>217.16666666666666</v>
      </c>
      <c r="O19" s="68">
        <f>AVERAGE([1]Global!AP47:AR47)</f>
        <v>178.33333333333334</v>
      </c>
      <c r="P19" s="68">
        <f>AVERAGE([1]Global!AS47:AU47)</f>
        <v>188</v>
      </c>
      <c r="Q19" s="68">
        <f>AVERAGE(O19:P19)</f>
        <v>183.16666666666669</v>
      </c>
      <c r="R19" s="64">
        <f>AVERAGE([1]Global!AV47:AX47)</f>
        <v>164.66666666666666</v>
      </c>
      <c r="S19" s="64">
        <f>AVERAGE([1]Global!AY47:BA47)</f>
        <v>105.66666666666667</v>
      </c>
      <c r="T19" s="64">
        <f>AVERAGE(R19:S19)</f>
        <v>135.16666666666666</v>
      </c>
    </row>
    <row r="20" spans="1:20">
      <c r="A20" t="s">
        <v>53</v>
      </c>
      <c r="B20" s="59">
        <f>AVERAGE([1]Global!N75:P75)</f>
        <v>0.55333333333333334</v>
      </c>
      <c r="C20" s="59">
        <f>AVERAGE([1]Global!Q75:S75)</f>
        <v>0.55333333333333334</v>
      </c>
      <c r="D20" s="61">
        <f>AVERAGE(B20:C20)</f>
        <v>0.55333333333333334</v>
      </c>
      <c r="E20" s="59">
        <f>AVERAGE([1]Global!T75:V75)</f>
        <v>0.54</v>
      </c>
      <c r="F20" s="59">
        <f>AVERAGE([1]Global!W75:Y75)</f>
        <v>0.54666666666666675</v>
      </c>
      <c r="G20" s="61">
        <f>AVERAGE(E20:F20)</f>
        <v>0.54333333333333345</v>
      </c>
      <c r="H20" s="61"/>
      <c r="I20" s="59">
        <f>AVERAGE([1]Global!Z75:AB75)</f>
        <v>0.54333333333333333</v>
      </c>
      <c r="J20" s="59">
        <f>AVERAGE([1]Global!AC75:AE75)</f>
        <v>0.54666666666666663</v>
      </c>
      <c r="K20" s="61">
        <f>AVERAGE(I20:J20)</f>
        <v>0.54499999999999993</v>
      </c>
      <c r="L20" s="60">
        <f>AVERAGE([1]Global!AF75:AH75)</f>
        <v>0.55666666666666675</v>
      </c>
      <c r="M20" s="60">
        <f>AVERAGE([1]Global!AI75:AK75)</f>
        <v>0.55666666666666664</v>
      </c>
      <c r="N20" s="61">
        <f>AVERAGE(L20:M20)</f>
        <v>0.55666666666666664</v>
      </c>
      <c r="O20" s="61">
        <f>AVERAGE([1]Global!AP75:AR75)</f>
        <v>0.57999999999999996</v>
      </c>
      <c r="P20" s="61">
        <f>AVERAGE([1]Global!AS75:AU75)</f>
        <v>0.6333333333333333</v>
      </c>
      <c r="Q20" s="61">
        <f>AVERAGE(O20:P20)</f>
        <v>0.60666666666666669</v>
      </c>
      <c r="R20" s="65">
        <f>AVERAGE([1]Global!AV75:AX75)</f>
        <v>0.63666666666666671</v>
      </c>
      <c r="S20" s="65">
        <f>AVERAGE([1]Global!AY75:BA75)</f>
        <v>0.66333333333333344</v>
      </c>
      <c r="T20" s="65">
        <f t="shared" ref="T20:T22" si="3">AVERAGE(R20:S20)</f>
        <v>0.65000000000000013</v>
      </c>
    </row>
    <row r="21" spans="1:20">
      <c r="A21" t="s">
        <v>54</v>
      </c>
      <c r="B21" s="59">
        <f>AVERAGE([1]Global!N63:P63)</f>
        <v>0.82</v>
      </c>
      <c r="C21" s="59">
        <f>AVERAGE([1]Global!Q63:S63)</f>
        <v>0.69333333333333336</v>
      </c>
      <c r="D21" s="61">
        <f>AVERAGE(B21:C21)</f>
        <v>0.7566666666666666</v>
      </c>
      <c r="E21" s="59">
        <f>AVERAGE([1]Global!T63:V63)</f>
        <v>0.66</v>
      </c>
      <c r="F21" s="59">
        <f>AVERAGE([1]Global!W63:Y63)</f>
        <v>0.6166666666666667</v>
      </c>
      <c r="G21" s="61">
        <f>AVERAGE(E21:F21)</f>
        <v>0.63833333333333342</v>
      </c>
      <c r="H21" s="61"/>
      <c r="I21" s="59">
        <f>AVERAGE([1]Global!Z63:AB63)</f>
        <v>0.60333333333333339</v>
      </c>
      <c r="J21" s="59">
        <f>AVERAGE([1]Global!AC63:AE63)</f>
        <v>0.66666666666666663</v>
      </c>
      <c r="K21" s="61">
        <f>AVERAGE(I21:J21)</f>
        <v>0.63500000000000001</v>
      </c>
      <c r="L21" s="60">
        <f>AVERAGE([1]Global!AF63:AH63)</f>
        <v>0.67333333333333334</v>
      </c>
      <c r="M21" s="60">
        <f>AVERAGE([1]Global!AI63:AK63)</f>
        <v>0.69666666666666666</v>
      </c>
      <c r="N21" s="61">
        <f>AVERAGE(L21:M21)</f>
        <v>0.68500000000000005</v>
      </c>
      <c r="O21" s="61">
        <f>AVERAGE([1]Global!AP63:AR63)</f>
        <v>0.73683333333333323</v>
      </c>
      <c r="P21" s="61">
        <f>AVERAGE([1]Global!AS63:AU63)</f>
        <v>0.72000000000000008</v>
      </c>
      <c r="Q21" s="61">
        <f>AVERAGE(O21:P21)</f>
        <v>0.72841666666666671</v>
      </c>
      <c r="R21" s="65">
        <f>AVERAGE([1]Global!AV63:AX63)</f>
        <v>0.69</v>
      </c>
      <c r="S21" s="65">
        <f>AVERAGE([1]Global!AY63:BA63)</f>
        <v>0.67333333333333334</v>
      </c>
      <c r="T21" s="65">
        <f t="shared" si="3"/>
        <v>0.68166666666666664</v>
      </c>
    </row>
    <row r="22" spans="1:20">
      <c r="A22" t="s">
        <v>49</v>
      </c>
      <c r="B22" s="59">
        <f>AVERAGE([1]Global!N57:P57)</f>
        <v>7.6666666666666675E-2</v>
      </c>
      <c r="C22" s="59">
        <f>AVERAGE([1]Global!Q57:S57)</f>
        <v>3.0000000000000002E-2</v>
      </c>
      <c r="D22" s="61">
        <f>AVERAGE(B22:C22)</f>
        <v>5.3333333333333337E-2</v>
      </c>
      <c r="E22" s="59">
        <f>AVERAGE([1]Global!T57:V57)</f>
        <v>7.3333333333333348E-2</v>
      </c>
      <c r="F22" s="59">
        <f>AVERAGE([1]Global!W57:Y57)</f>
        <v>6.3333333333333339E-2</v>
      </c>
      <c r="G22" s="61">
        <f>AVERAGE(E22:F22)</f>
        <v>6.8333333333333343E-2</v>
      </c>
      <c r="H22" s="61"/>
      <c r="I22" s="59">
        <f>AVERAGE([1]Global!Z57:AB57)</f>
        <v>6.6666666666666666E-2</v>
      </c>
      <c r="J22" s="59">
        <f>AVERAGE([1]Global!AC57:AE57)</f>
        <v>0.08</v>
      </c>
      <c r="K22" s="61">
        <f>AVERAGE(I22:J22)</f>
        <v>7.3333333333333334E-2</v>
      </c>
      <c r="L22" s="60">
        <f>AVERAGE([1]Global!AF57:AH57)</f>
        <v>6.3333333333333339E-2</v>
      </c>
      <c r="M22" s="60">
        <f>AVERAGE([1]Global!AI57:AK57)</f>
        <v>6.3333333333333339E-2</v>
      </c>
      <c r="N22" s="61">
        <f>AVERAGE(L22:M22)</f>
        <v>6.3333333333333339E-2</v>
      </c>
      <c r="O22" s="61">
        <f>AVERAGE([1]Global!AP57:AR57)</f>
        <v>7.8466666666666671E-2</v>
      </c>
      <c r="P22" s="61">
        <f>AVERAGE([1]Global!AS57:AU57)</f>
        <v>0.10333333333333333</v>
      </c>
      <c r="Q22" s="61">
        <f>AVERAGE(O22:P22)</f>
        <v>9.0900000000000009E-2</v>
      </c>
      <c r="R22" s="65">
        <f>AVERAGE([1]Global!AV57:AX57)</f>
        <v>0.11333333333333333</v>
      </c>
      <c r="S22" s="65">
        <f>AVERAGE([1]Global!AY57:BA57)</f>
        <v>7.6666666666666675E-2</v>
      </c>
      <c r="T22" s="65">
        <f t="shared" si="3"/>
        <v>9.5000000000000001E-2</v>
      </c>
    </row>
    <row r="23" spans="1:20">
      <c r="A23" t="s">
        <v>50</v>
      </c>
      <c r="B23" s="59"/>
      <c r="C23" s="59"/>
      <c r="D23" s="66">
        <v>8.3000000000000007</v>
      </c>
      <c r="E23" s="59"/>
      <c r="F23" s="59"/>
      <c r="G23" s="66">
        <v>8.4</v>
      </c>
      <c r="H23" s="66"/>
      <c r="I23" s="59"/>
      <c r="J23" s="59"/>
      <c r="K23" s="66">
        <v>8</v>
      </c>
      <c r="L23" s="60"/>
      <c r="M23" s="60"/>
      <c r="N23" s="66">
        <v>8.3000000000000007</v>
      </c>
      <c r="O23" s="66"/>
      <c r="P23" s="66"/>
      <c r="Q23" s="66">
        <v>8.5</v>
      </c>
      <c r="R23" s="67"/>
      <c r="S23" s="67"/>
      <c r="T23" s="67">
        <v>8.1</v>
      </c>
    </row>
    <row r="25" spans="1:20">
      <c r="A25" s="62" t="s">
        <v>55</v>
      </c>
      <c r="B25" s="54" t="s">
        <v>24</v>
      </c>
      <c r="C25" s="54" t="s">
        <v>25</v>
      </c>
      <c r="D25" s="54" t="s">
        <v>26</v>
      </c>
      <c r="E25" s="54" t="s">
        <v>27</v>
      </c>
      <c r="F25" s="54" t="s">
        <v>28</v>
      </c>
      <c r="G25" s="54" t="s">
        <v>29</v>
      </c>
      <c r="H25" s="54"/>
      <c r="I25" s="55" t="s">
        <v>30</v>
      </c>
      <c r="J25" s="55" t="s">
        <v>31</v>
      </c>
      <c r="K25" s="55" t="s">
        <v>32</v>
      </c>
      <c r="L25" s="55" t="s">
        <v>33</v>
      </c>
      <c r="M25" s="55" t="s">
        <v>34</v>
      </c>
      <c r="N25" s="55" t="s">
        <v>35</v>
      </c>
      <c r="O25" s="55" t="s">
        <v>36</v>
      </c>
      <c r="P25" s="55" t="s">
        <v>37</v>
      </c>
      <c r="Q25" s="55" t="s">
        <v>38</v>
      </c>
      <c r="R25" s="55" t="s">
        <v>39</v>
      </c>
      <c r="S25" s="55" t="s">
        <v>40</v>
      </c>
      <c r="T25" s="55" t="s">
        <v>41</v>
      </c>
    </row>
    <row r="26" spans="1:20">
      <c r="A26" t="s">
        <v>42</v>
      </c>
      <c r="B26" s="56">
        <f>SUM([1]Global!N12:P12)</f>
        <v>4663</v>
      </c>
      <c r="C26" s="56">
        <f>SUM([1]Global!Q12:S12)</f>
        <v>5253</v>
      </c>
      <c r="D26" s="57">
        <f>SUM(B26:C26)</f>
        <v>9916</v>
      </c>
      <c r="E26" s="56">
        <f>SUM([1]Global!T12:V12)</f>
        <v>5266</v>
      </c>
      <c r="F26" s="56">
        <f>SUM([1]Global!W12:Y12)</f>
        <v>4216</v>
      </c>
      <c r="G26" s="57">
        <f>SUM(E26:F26)</f>
        <v>9482</v>
      </c>
      <c r="H26" s="57"/>
      <c r="I26" s="56">
        <f>SUM([1]Global!Z12:AB12)</f>
        <v>21698</v>
      </c>
      <c r="J26" s="56">
        <f>SUM([1]Global!AC12:AE12)</f>
        <v>16633</v>
      </c>
      <c r="K26" s="58">
        <f>SUM(I26:J26)</f>
        <v>38331</v>
      </c>
      <c r="L26" s="56">
        <f>SUM([1]Global!AF12:AH12)</f>
        <v>13720</v>
      </c>
      <c r="M26" s="56">
        <f>SUM([1]Global!AI12:AK12)</f>
        <v>17423</v>
      </c>
      <c r="N26" s="58">
        <f>SUM(L26:M26)</f>
        <v>31143</v>
      </c>
      <c r="O26" s="58">
        <f>SUM([1]Global!AP12:AR12)</f>
        <v>20966</v>
      </c>
      <c r="P26" s="58">
        <f>SUM([1]Global!AS12:AU12)</f>
        <v>18795</v>
      </c>
      <c r="Q26" s="58">
        <f>SUM(O26:P26)</f>
        <v>39761</v>
      </c>
      <c r="R26" s="58">
        <f>SUM([1]Global!AV12:AX12)</f>
        <v>17458</v>
      </c>
      <c r="S26" s="58">
        <f>SUM([1]Global!AY12:BA12)</f>
        <v>19606</v>
      </c>
      <c r="T26" s="58">
        <f>SUM(R26:S26)</f>
        <v>37064</v>
      </c>
    </row>
    <row r="27" spans="1:20">
      <c r="A27" t="s">
        <v>43</v>
      </c>
      <c r="B27" s="56">
        <f>SUM([1]Global!N13:P13)</f>
        <v>3133</v>
      </c>
      <c r="C27" s="56">
        <f>SUM([1]Global!Q13:S13)</f>
        <v>3147</v>
      </c>
      <c r="D27" s="57">
        <f>SUM(B27:C27)</f>
        <v>6280</v>
      </c>
      <c r="E27" s="56">
        <f>SUM([1]Global!T13:V13)</f>
        <v>2625</v>
      </c>
      <c r="F27" s="56">
        <f>SUM([1]Global!W13:Y13)</f>
        <v>2493</v>
      </c>
      <c r="G27" s="57">
        <f>SUM(E27:F27)</f>
        <v>5118</v>
      </c>
      <c r="H27" s="57"/>
      <c r="I27" s="56">
        <f>SUM([1]Global!Z13:AB13)</f>
        <v>19362</v>
      </c>
      <c r="J27" s="56">
        <f>SUM([1]Global!AC13:AE13)</f>
        <v>15212</v>
      </c>
      <c r="K27" s="58">
        <f>SUM(I27:J27)</f>
        <v>34574</v>
      </c>
      <c r="L27" s="56">
        <f>SUM([1]Global!AF13:AH13)</f>
        <v>11815</v>
      </c>
      <c r="M27" s="56">
        <f>SUM([1]Global!AI13:AK13)</f>
        <v>2737</v>
      </c>
      <c r="N27" s="58">
        <f>SUM(L27:M27)</f>
        <v>14552</v>
      </c>
      <c r="O27" s="58">
        <f>SUM([1]Global!AP13:AR13)</f>
        <v>2779</v>
      </c>
      <c r="P27" s="58">
        <f>SUM([1]Global!AS13:AU13)</f>
        <v>5160</v>
      </c>
      <c r="Q27" s="58">
        <f>SUM(O27:P27)</f>
        <v>7939</v>
      </c>
      <c r="R27" s="58">
        <f>SUM([1]Global!AV13:AX13)</f>
        <v>5744</v>
      </c>
      <c r="S27" s="58">
        <f>SUM([1]Global!AY13:BA13)</f>
        <v>7166</v>
      </c>
      <c r="T27" s="58">
        <f t="shared" ref="T27:T28" si="4">SUM(R27:S27)</f>
        <v>12910</v>
      </c>
    </row>
    <row r="28" spans="1:20">
      <c r="A28" t="s">
        <v>44</v>
      </c>
      <c r="B28" s="56">
        <f>SUM([1]Global!N14:P14)</f>
        <v>1530</v>
      </c>
      <c r="C28" s="56">
        <f>SUM([1]Global!Q14:S14)</f>
        <v>2106</v>
      </c>
      <c r="D28" s="57">
        <f>SUM(B28:C28)</f>
        <v>3636</v>
      </c>
      <c r="E28" s="56">
        <f>SUM([1]Global!T14:V14)</f>
        <v>2641</v>
      </c>
      <c r="F28" s="56">
        <f>SUM([1]Global!W14:Y14)</f>
        <v>1723</v>
      </c>
      <c r="G28" s="57">
        <f>SUM(E28:F28)</f>
        <v>4364</v>
      </c>
      <c r="H28" s="57"/>
      <c r="I28" s="56">
        <f>SUM([1]Global!Z14:AB14)</f>
        <v>1436</v>
      </c>
      <c r="J28" s="56">
        <f>SUM([1]Global!AC14:AE14)</f>
        <v>1421</v>
      </c>
      <c r="K28" s="58">
        <f>SUM(I28:J28)</f>
        <v>2857</v>
      </c>
      <c r="L28" s="56">
        <f>SUM([1]Global!AF14:AH14)</f>
        <v>1902</v>
      </c>
      <c r="M28" s="56">
        <f>SUM([1]Global!AI14:AK14)</f>
        <v>14686</v>
      </c>
      <c r="N28" s="58">
        <f>SUM(L28:M28)</f>
        <v>16588</v>
      </c>
      <c r="O28" s="58">
        <f>SUM([1]Global!AP14:AR14)</f>
        <v>18187</v>
      </c>
      <c r="P28" s="58">
        <f>SUM([1]Global!AS14:AU14)</f>
        <v>13635</v>
      </c>
      <c r="Q28" s="58">
        <f>SUM(O28:P28)</f>
        <v>31822</v>
      </c>
      <c r="R28" s="58">
        <f>SUM([1]Global!AV14:AX14)</f>
        <v>11714</v>
      </c>
      <c r="S28" s="58">
        <f>SUM([1]Global!AY14:BA14)</f>
        <v>12440</v>
      </c>
      <c r="T28" s="58">
        <f t="shared" si="4"/>
        <v>24154</v>
      </c>
    </row>
    <row r="29" spans="1:20">
      <c r="A29" t="s">
        <v>45</v>
      </c>
      <c r="B29" s="60">
        <f>AVERAGE([1]Global!N28:P28)</f>
        <v>0.87990196078431371</v>
      </c>
      <c r="C29" s="60">
        <f>AVERAGE([1]Global!Q28:S28)</f>
        <v>0.9553571428571429</v>
      </c>
      <c r="D29" s="63">
        <f>AVERAGE(B29:C29)</f>
        <v>0.91762955182072825</v>
      </c>
      <c r="E29" s="60">
        <f>AVERAGE([1]Global!T28:V28)</f>
        <v>0.73809523809523814</v>
      </c>
      <c r="F29" s="60">
        <f>AVERAGE([1]Global!W28:Y28)</f>
        <v>0.9555555555555556</v>
      </c>
      <c r="G29" s="63">
        <f>AVERAGE(E29:F29)</f>
        <v>0.84682539682539693</v>
      </c>
      <c r="H29" s="63"/>
      <c r="I29" s="60">
        <f>AVERAGE([1]Global!Z28:AB28)</f>
        <v>0.86</v>
      </c>
      <c r="J29" s="60">
        <f>AVERAGE([1]Global!AC28:AE28)</f>
        <v>0.83333333333333337</v>
      </c>
      <c r="K29" s="63">
        <f>AVERAGE(I29:J29)</f>
        <v>0.84666666666666668</v>
      </c>
      <c r="L29" s="60">
        <f>AVERAGE([1]Global!AF28:AH28)</f>
        <v>0.78666666666666663</v>
      </c>
      <c r="M29" s="60">
        <f>AVERAGE([1]Global!AI28:AK28)</f>
        <v>0.97333333333333327</v>
      </c>
      <c r="N29" s="63">
        <f>AVERAGE(L29:M29)</f>
        <v>0.87999999999999989</v>
      </c>
      <c r="O29" s="63">
        <f>AVERAGE([1]Global!AP28:AR28)</f>
        <v>0.76666666666666661</v>
      </c>
      <c r="P29" s="63">
        <f>AVERAGE([1]Global!AS28:AU28)</f>
        <v>0.91206436660982115</v>
      </c>
      <c r="Q29" s="63">
        <f>AVERAGE(O29:P29)</f>
        <v>0.83936551663824388</v>
      </c>
      <c r="R29" s="63">
        <f>AVERAGE([1]Global!AV28:AX28)</f>
        <v>0.95589532000933009</v>
      </c>
      <c r="S29" s="63">
        <f>AVERAGE([1]Global!AY28:BA28)</f>
        <v>0.97424667007426569</v>
      </c>
      <c r="T29" s="63">
        <f>AVERAGE(R29:S29)</f>
        <v>0.96507099504179794</v>
      </c>
    </row>
    <row r="30" spans="1:20">
      <c r="A30" t="s">
        <v>46</v>
      </c>
      <c r="B30" s="16">
        <f>AVERAGE([1]Global!N44:P44)</f>
        <v>14364.129629629628</v>
      </c>
      <c r="C30" s="16">
        <f>AVERAGE([1]Global!Q44:S44)</f>
        <v>48.891774891774894</v>
      </c>
      <c r="D30" s="68">
        <f>AVERAGE(B30:C30)</f>
        <v>7206.5107022607017</v>
      </c>
      <c r="E30" s="16">
        <f>AVERAGE([1]Global!T44:V44)</f>
        <v>17.433333333333334</v>
      </c>
      <c r="F30" s="16">
        <f>AVERAGE([1]Global!W44:Y44)</f>
        <v>30.983333333333334</v>
      </c>
      <c r="G30" s="68">
        <f>AVERAGE(E30:F30)</f>
        <v>24.208333333333336</v>
      </c>
      <c r="H30" s="68"/>
      <c r="I30" s="16">
        <f>AVERAGE([1]Global!Z44:AB44)</f>
        <v>234.94634193000002</v>
      </c>
      <c r="J30" s="16">
        <f>AVERAGE([1]Global!AC44:AE44)</f>
        <v>722.05212439666673</v>
      </c>
      <c r="K30" s="68">
        <f>AVERAGE(I30:J30)</f>
        <v>478.49923316333337</v>
      </c>
      <c r="L30" s="16">
        <f>AVERAGE([1]Global!AF44:AH44)</f>
        <v>225.98888890000001</v>
      </c>
      <c r="M30" s="16">
        <f>AVERAGE([1]Global!AI44:AK44)</f>
        <v>311.61111110000002</v>
      </c>
      <c r="N30" s="68">
        <f>AVERAGE(L30:M30)</f>
        <v>268.8</v>
      </c>
      <c r="O30" s="68">
        <f>AVERAGE([1]Global!AP44:AR44)</f>
        <v>383.95833333333331</v>
      </c>
      <c r="P30" s="68">
        <f>AVERAGE([1]Global!AS44:AU44)</f>
        <v>32.081262626262621</v>
      </c>
      <c r="Q30" s="68">
        <f>AVERAGE(O30:P30)</f>
        <v>208.01979797979797</v>
      </c>
      <c r="R30" s="64">
        <f>AVERAGE([1]Global!AV44:AX44)</f>
        <v>293.98095238095237</v>
      </c>
      <c r="S30" s="64">
        <f>AVERAGE([1]Global!AY44:BA44)</f>
        <v>579.61476190476196</v>
      </c>
      <c r="T30" s="64">
        <f>AVERAGE(R30:S30)</f>
        <v>436.7978571428572</v>
      </c>
    </row>
    <row r="31" spans="1:20">
      <c r="A31" t="s">
        <v>56</v>
      </c>
      <c r="B31" s="71">
        <f>AVERAGE([1]Global!N72:P72)</f>
        <v>0.85</v>
      </c>
      <c r="C31" s="71">
        <f>AVERAGE([1]Global!Q72:S72)</f>
        <v>0.84333333333333327</v>
      </c>
      <c r="D31" s="72">
        <f>AVERAGE(B31:C31)</f>
        <v>0.84666666666666668</v>
      </c>
      <c r="E31" s="71">
        <f>AVERAGE([1]Global!T72:V72)</f>
        <v>0.90666666666666662</v>
      </c>
      <c r="F31" s="71">
        <f>AVERAGE([1]Global!W72:Y72)</f>
        <v>0.8833333333333333</v>
      </c>
      <c r="G31" s="72">
        <f>AVERAGE(E31:F31)</f>
        <v>0.89500000000000002</v>
      </c>
      <c r="H31" s="72"/>
      <c r="I31" s="60">
        <f>AVERAGE([1]Global!Z72:AB72)</f>
        <v>0.83122809333333336</v>
      </c>
      <c r="J31" s="60">
        <f>AVERAGE([1]Global!AC72:AE72)</f>
        <v>0.74948471066666666</v>
      </c>
      <c r="K31" s="61">
        <f>AVERAGE(I31:J31)</f>
        <v>0.79035640200000001</v>
      </c>
      <c r="L31" s="60">
        <f>AVERAGE([1]Global!AF72:AH72)</f>
        <v>0.74955267800000003</v>
      </c>
      <c r="M31" s="60">
        <f>AVERAGE([1]Global!AI72:AK72)</f>
        <v>0.81333333333333335</v>
      </c>
      <c r="N31" s="61">
        <f>AVERAGE(L31:M31)</f>
        <v>0.78144300566666669</v>
      </c>
      <c r="O31" s="61">
        <f>AVERAGE([1]Global!AP72:AR72)</f>
        <v>0.7507999591712432</v>
      </c>
      <c r="P31" s="61">
        <f>AVERAGE([1]Global!AS72:AU72)</f>
        <v>0.83391799625278029</v>
      </c>
      <c r="Q31" s="61">
        <f>AVERAGE(O31:P31)</f>
        <v>0.79235897771201169</v>
      </c>
      <c r="R31" s="65">
        <f>AVERAGE([1]Global!AV72:AX72)</f>
        <v>0.82176942284079713</v>
      </c>
      <c r="S31" s="65">
        <f>AVERAGE([1]Global!AY72:BA72)</f>
        <v>0.85790904748908303</v>
      </c>
      <c r="T31" s="65">
        <f t="shared" ref="T31:T33" si="5">AVERAGE(R31:S31)</f>
        <v>0.83983923516494008</v>
      </c>
    </row>
    <row r="32" spans="1:20">
      <c r="A32" t="s">
        <v>57</v>
      </c>
      <c r="B32" s="71">
        <f>AVERAGE([1]Global!N62:P62)</f>
        <v>0.11666666666666665</v>
      </c>
      <c r="C32" s="71">
        <f>AVERAGE([1]Global!Q62:S62)</f>
        <v>0.38666666666666671</v>
      </c>
      <c r="D32" s="72">
        <f>AVERAGE(B32:C32)</f>
        <v>0.25166666666666671</v>
      </c>
      <c r="E32" s="71">
        <f>AVERAGE([1]Global!T62:V62)</f>
        <v>0.49666666666666665</v>
      </c>
      <c r="F32" s="71">
        <f>AVERAGE([1]Global!W62:Y62)</f>
        <v>0.32333333333333331</v>
      </c>
      <c r="G32" s="72">
        <f>AVERAGE(E32:F32)</f>
        <v>0.41</v>
      </c>
      <c r="H32" s="72"/>
      <c r="I32" s="71">
        <f>AVERAGE([1]Global!Z62:AB62)</f>
        <v>0.55000000000000004</v>
      </c>
      <c r="J32" s="71">
        <f>AVERAGE([1]Global!AC62:AE62)</f>
        <v>9.6666666666666665E-2</v>
      </c>
      <c r="K32" s="72">
        <f>AVERAGE(I32:J32)</f>
        <v>0.32333333333333336</v>
      </c>
      <c r="L32" s="71">
        <f>AVERAGE([1]Global!AF62:AH62)</f>
        <v>0.64333333333333342</v>
      </c>
      <c r="M32" s="71">
        <f>AVERAGE([1]Global!AI62:AK62)</f>
        <v>0.91041210233333336</v>
      </c>
      <c r="N32" s="72">
        <f>AVERAGE(L32:M32)</f>
        <v>0.77687271783333345</v>
      </c>
      <c r="O32" s="72">
        <f>AVERAGE([1]Global!AP62:AR62)</f>
        <v>0.93432386433458381</v>
      </c>
      <c r="P32" s="72">
        <f>AVERAGE([1]Global!AS62:AU62)</f>
        <v>0.8965132035809954</v>
      </c>
      <c r="Q32" s="72">
        <f>AVERAGE(O32:P32)</f>
        <v>0.9154185339577896</v>
      </c>
      <c r="R32" s="65">
        <f>AVERAGE([1]Global!AV62:AX62)</f>
        <v>0.93340131165050089</v>
      </c>
      <c r="S32" s="65">
        <f>AVERAGE([1]Global!AY62:BA62)</f>
        <v>0.97675103420653631</v>
      </c>
      <c r="T32" s="65">
        <f t="shared" si="5"/>
        <v>0.95507617292851865</v>
      </c>
    </row>
    <row r="33" spans="1:20">
      <c r="A33" t="s">
        <v>58</v>
      </c>
      <c r="B33" s="60">
        <f>AVERAGE([1]Global!N56:P56)</f>
        <v>4.8904805742143377E-2</v>
      </c>
      <c r="C33" s="60">
        <f>AVERAGE([1]Global!Q56:S56)</f>
        <v>4.7809486328043264E-2</v>
      </c>
      <c r="D33" s="61">
        <f>AVERAGE(B33:C33)</f>
        <v>4.8357146035093321E-2</v>
      </c>
      <c r="E33" s="60">
        <f>AVERAGE([1]Global!T56:V56)</f>
        <v>9.6230490097774887E-2</v>
      </c>
      <c r="F33" s="60">
        <f>AVERAGE([1]Global!W56:Y56)</f>
        <v>0.24713399879007866</v>
      </c>
      <c r="G33" s="61">
        <f>AVERAGE(E33:F33)</f>
        <v>0.17168224444392677</v>
      </c>
      <c r="H33" s="61"/>
      <c r="I33" s="60">
        <f>AVERAGE([1]Global!Z56:AB56)</f>
        <v>0.14333333333333334</v>
      </c>
      <c r="J33" s="60">
        <f>AVERAGE([1]Global!AC56:AE56)</f>
        <v>0.11666666666666665</v>
      </c>
      <c r="K33" s="61">
        <f>AVERAGE(I33:J33)</f>
        <v>0.13</v>
      </c>
      <c r="L33" s="60">
        <f>AVERAGE([1]Global!AF56:AH56)</f>
        <v>8.666666666666667E-2</v>
      </c>
      <c r="M33" s="60">
        <f>AVERAGE([1]Global!AI56:AK56)</f>
        <v>0.17666666666666667</v>
      </c>
      <c r="N33" s="61">
        <f>AVERAGE(L33:M33)</f>
        <v>0.13166666666666665</v>
      </c>
      <c r="O33" s="61">
        <f>AVERAGE([1]Global!AP56:AR56)</f>
        <v>0.12635176256004624</v>
      </c>
      <c r="P33" s="61">
        <f>AVERAGE([1]Global!AS56:AU56)</f>
        <v>0.21923257933696463</v>
      </c>
      <c r="Q33" s="61">
        <f>AVERAGE(O33:P33)</f>
        <v>0.17279217094850544</v>
      </c>
      <c r="R33" s="65">
        <f>AVERAGE([1]Global!AV56:AX56)</f>
        <v>9.8209977189176234E-2</v>
      </c>
      <c r="S33" s="65">
        <f>AVERAGE([1]Global!AY56:BA56)</f>
        <v>0.14756004321449348</v>
      </c>
      <c r="T33" s="65">
        <f t="shared" si="5"/>
        <v>0.12288501020183486</v>
      </c>
    </row>
    <row r="34" spans="1:20">
      <c r="A34" t="s">
        <v>50</v>
      </c>
      <c r="B34" s="59"/>
      <c r="C34" s="59"/>
      <c r="D34" s="66">
        <v>9</v>
      </c>
      <c r="E34" s="59"/>
      <c r="F34" s="59"/>
      <c r="G34" s="66">
        <v>8.8000000000000007</v>
      </c>
      <c r="H34" s="66"/>
      <c r="I34" s="59"/>
      <c r="J34" s="59"/>
      <c r="K34" s="66">
        <v>10</v>
      </c>
      <c r="L34" s="60"/>
      <c r="M34" s="60"/>
      <c r="N34" s="66">
        <v>8.4</v>
      </c>
      <c r="O34" s="66"/>
      <c r="P34" s="66"/>
      <c r="Q34" s="66">
        <v>8.5</v>
      </c>
      <c r="R34" s="67"/>
      <c r="S34" s="67"/>
      <c r="T34" s="67">
        <v>8.1999999999999993</v>
      </c>
    </row>
    <row r="36" spans="1:20"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</row>
    <row r="37" spans="1:20"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</row>
    <row r="38" spans="1:20"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</row>
    <row r="39" spans="1:20"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</row>
    <row r="40" spans="1:20"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9D638F536E5B4E804B6FE28F36C433" ma:contentTypeVersion="10" ma:contentTypeDescription="Create a new document." ma:contentTypeScope="" ma:versionID="8d2634d4b0f3f1ec21a787a497bc30fe">
  <xsd:schema xmlns:xsd="http://www.w3.org/2001/XMLSchema" xmlns:xs="http://www.w3.org/2001/XMLSchema" xmlns:p="http://schemas.microsoft.com/office/2006/metadata/properties" xmlns:ns2="8fb1fc40-3b72-4bce-a63e-393b8d34b2d0" targetNamespace="http://schemas.microsoft.com/office/2006/metadata/properties" ma:root="true" ma:fieldsID="2a190e232790895f06445224d07f5e6d" ns2:_="">
    <xsd:import namespace="8fb1fc40-3b72-4bce-a63e-393b8d34b2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b1fc40-3b72-4bce-a63e-393b8d34b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b1fc40-3b72-4bce-a63e-393b8d34b2d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E20354-8C99-4F77-B990-36E3109E6262}"/>
</file>

<file path=customXml/itemProps2.xml><?xml version="1.0" encoding="utf-8"?>
<ds:datastoreItem xmlns:ds="http://schemas.openxmlformats.org/officeDocument/2006/customXml" ds:itemID="{648B54BB-07D0-44C2-8420-A5DD3E619C6A}"/>
</file>

<file path=customXml/itemProps3.xml><?xml version="1.0" encoding="utf-8"?>
<ds:datastoreItem xmlns:ds="http://schemas.openxmlformats.org/officeDocument/2006/customXml" ds:itemID="{E37483AD-7CE5-482D-800F-3B10D6EBE343}"/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MARZOUK Moshira OBS/GDO</dc:creator>
  <cp:keywords/>
  <dc:description/>
  <cp:lastModifiedBy>Amit Sahai Saxena</cp:lastModifiedBy>
  <cp:revision/>
  <dcterms:created xsi:type="dcterms:W3CDTF">2026-03-16T15:49:47Z</dcterms:created>
  <dcterms:modified xsi:type="dcterms:W3CDTF">2026-03-23T14:37:29Z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0x010100F29D638F536E5B4E804B6FE28F36C433</vt:lpwstr>
  </property>
  <property fmtid="{D5CDD505-2E9C-101B-9397-08002B2CF9AE}" pid="3" name="MediaServiceImageTags">
    <vt:lpwstr/>
  </property>
</Properties>
</file>